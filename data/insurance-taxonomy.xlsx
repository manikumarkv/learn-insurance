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ee" sheetId="1" state="visible" r:id="rId3"/>
    <sheet name="Outline" sheetId="2" state="visible" r:id="rId4"/>
    <sheet name="Summary" sheetId="3" state="visible" r:id="rId5"/>
    <sheet name="README" sheetId="4" state="visible" r:id="rId6"/>
  </sheets>
  <definedNames>
    <definedName function="false" hidden="true" localSheetId="0" name="_xlnm._FilterDatabase" vbProcedure="false">Tree!$A$1:$J$552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<sst xmlns="http://schemas.openxmlformats.org/spreadsheetml/2006/main" count="5576" uniqueCount="3331">
  <si>
    <t xml:space="preserve">ID</t>
  </si>
  <si>
    <t xml:space="preserve">Parent ID</t>
  </si>
  <si>
    <t xml:space="preserve">Level</t>
  </si>
  <si>
    <t xml:space="preserve">Name</t>
  </si>
  <si>
    <t xml:space="preserve">Also Known As</t>
  </si>
  <si>
    <t xml:space="preserve">Plain-English Description</t>
  </si>
  <si>
    <t xml:space="preserve">Example</t>
  </si>
  <si>
    <t xml:space="preserve">Personal/Commercial/Both</t>
  </si>
  <si>
    <t xml:space="preserve">US Notes</t>
  </si>
  <si>
    <t xml:space="preserve">Full Path</t>
  </si>
  <si>
    <t xml:space="preserve">life</t>
  </si>
  <si>
    <t xml:space="preserve">Life Insurance</t>
  </si>
  <si>
    <t xml:space="preserve">Life coverage</t>
  </si>
  <si>
    <t xml:space="preserve">Pays money to chosen people (beneficiaries) when the insured person dies, and some types also build cash value you can use while alive.</t>
  </si>
  <si>
    <t xml:space="preserve">A parent buys a policy so their family can pay off the mortgage and college costs if the parent dies.</t>
  </si>
  <si>
    <t xml:space="preserve">Personal</t>
  </si>
  <si>
    <t xml:space="preserve">Regulated by states; policy forms filed with each state insurance department. State guaranty associations protect policyholders if an insurer fails (typically at least $300,000 death benefit).</t>
  </si>
  <si>
    <t xml:space="preserve">life.term</t>
  </si>
  <si>
    <t xml:space="preserve">Term Life</t>
  </si>
  <si>
    <t xml:space="preserve">Temporary life insurance</t>
  </si>
  <si>
    <t xml:space="preserve">Covers you only for a fixed period, such as 10, 20 or 30 years, and pays out only if you die within that period. It has no cash value, which makes it the cheapest life cover.</t>
  </si>
  <si>
    <t xml:space="preserve">A 30-year-old buys a 30-year term policy that matches the length of their mortgage.</t>
  </si>
  <si>
    <t xml:space="preserve">The most common individual life product sold in the US by policy count.</t>
  </si>
  <si>
    <t xml:space="preserve">Life Insurance &gt; Term Life</t>
  </si>
  <si>
    <t xml:space="preserve">life.term.level</t>
  </si>
  <si>
    <t xml:space="preserve">Level Term</t>
  </si>
  <si>
    <t xml:space="preserve">Guaranteed level term</t>
  </si>
  <si>
    <t xml:space="preserve">The death benefit and premium stay the same for the whole term (e.g. 10, 15, 20 or 30 years).</t>
  </si>
  <si>
    <t xml:space="preserve">A family buys $500,000 of cover that stays at $500,000 for 20 years.</t>
  </si>
  <si>
    <t xml:space="preserve">Life Insurance &gt; Term Life &gt; Level Term</t>
  </si>
  <si>
    <t xml:space="preserve">life.term.decreasing</t>
  </si>
  <si>
    <t xml:space="preserve">Decreasing Term</t>
  </si>
  <si>
    <t xml:space="preserve">Mortgage protection insurance</t>
  </si>
  <si>
    <t xml:space="preserve">The death benefit shrinks over time, usually in line with a mortgage balance.</t>
  </si>
  <si>
    <t xml:space="preserve">A couple buys cover that falls each year as their mortgage is paid down.</t>
  </si>
  <si>
    <t xml:space="preserve">Often marketed by mortgage servicers via direct mail.</t>
  </si>
  <si>
    <t xml:space="preserve">Life Insurance &gt; Term Life &gt; Decreasing Term</t>
  </si>
  <si>
    <t xml:space="preserve">life.term.art</t>
  </si>
  <si>
    <t xml:space="preserve">Annually Renewable Term (ART)</t>
  </si>
  <si>
    <t xml:space="preserve">Yearly renewable term (YRT)</t>
  </si>
  <si>
    <t xml:space="preserve">One-year cover that can be renewed each year without a new medical exam, with the premium rising as you age.</t>
  </si>
  <si>
    <t xml:space="preserve">A person needs cover for a short, uncertain period and renews year by year.</t>
  </si>
  <si>
    <t xml:space="preserve">YRT is also the most common basis for life reinsurance.</t>
  </si>
  <si>
    <t xml:space="preserve">Life Insurance &gt; Term Life &gt; Annually Renewable Term (ART)</t>
  </si>
  <si>
    <t xml:space="preserve">life.term.convertible</t>
  </si>
  <si>
    <t xml:space="preserve">Convertible Term</t>
  </si>
  <si>
    <t xml:space="preserve">Term cover that can be switched into a permanent policy later without new medical questions.</t>
  </si>
  <si>
    <t xml:space="preserve">Someone buys cheap term cover now, planning to convert to whole life when their income grows.</t>
  </si>
  <si>
    <t xml:space="preserve">Most US level term policies include a conversion privilege up to a set age.</t>
  </si>
  <si>
    <t xml:space="preserve">Life Insurance &gt; Term Life &gt; Convertible Term</t>
  </si>
  <si>
    <t xml:space="preserve">life.term.rop</t>
  </si>
  <si>
    <t xml:space="preserve">Return of Premium Term (ROP)</t>
  </si>
  <si>
    <t xml:space="preserve">Term cover that refunds the premiums you paid if you are still alive at the end of the term. It costs more than plain term.</t>
  </si>
  <si>
    <t xml:space="preserve">A buyer who dislikes "wasting" premiums picks a policy that returns them at the end of 30 years.</t>
  </si>
  <si>
    <t xml:space="preserve">Life Insurance &gt; Term Life &gt; Return of Premium Term (ROP)</t>
  </si>
  <si>
    <t xml:space="preserve">life.term.credit_life</t>
  </si>
  <si>
    <t xml:space="preserve">Credit Life Insurance</t>
  </si>
  <si>
    <t xml:space="preserve">Credit insurance</t>
  </si>
  <si>
    <t xml:space="preserve">Pays off a specific loan if the borrower dies; often offered by the lender at the time of the loan.</t>
  </si>
  <si>
    <t xml:space="preserve">A car buyer is offered a policy that clears the auto loan if the buyer dies.</t>
  </si>
  <si>
    <t xml:space="preserve">Rates and sales practices are tightly regulated by states; must be optional for the borrower.</t>
  </si>
  <si>
    <t xml:space="preserve">Life Insurance &gt; Term Life &gt; Credit Life Insurance</t>
  </si>
  <si>
    <t xml:space="preserve">life.permanent</t>
  </si>
  <si>
    <t xml:space="preserve">Permanent Life</t>
  </si>
  <si>
    <t xml:space="preserve">Cash value life insurance</t>
  </si>
  <si>
    <t xml:space="preserve">Covers you for your whole life as long as premiums are paid, and most types build a cash value you can borrow against or withdraw.</t>
  </si>
  <si>
    <t xml:space="preserve">A business owner buys permanent cover to leave money to heirs regardless of when they die.</t>
  </si>
  <si>
    <t xml:space="preserve">Cash value grows tax-deferred if the policy meets the IRC Section 7702 definition of life insurance; overfunded policies become Modified Endowment Contracts (MECs).</t>
  </si>
  <si>
    <t xml:space="preserve">Life Insurance &gt; Permanent Life</t>
  </si>
  <si>
    <t xml:space="preserve">life.permanent.whole</t>
  </si>
  <si>
    <t xml:space="preserve">Whole Life</t>
  </si>
  <si>
    <t xml:space="preserve">Ordinary life; Straight life</t>
  </si>
  <si>
    <t xml:space="preserve">Lifelong cover with fixed premiums, a guaranteed death benefit and a guaranteed cash value that grows slowly.</t>
  </si>
  <si>
    <t xml:space="preserve">A grandparent buys a whole life policy to leave a guaranteed sum to grandchildren.</t>
  </si>
  <si>
    <t xml:space="preserve">Life Insurance &gt; Permanent Life &gt; Whole Life</t>
  </si>
  <si>
    <t xml:space="preserve">life.permanent.whole.participating</t>
  </si>
  <si>
    <t xml:space="preserve">Participating Whole Life</t>
  </si>
  <si>
    <t xml:space="preserve">Par whole life; Dividend-paying whole life</t>
  </si>
  <si>
    <t xml:space="preserve">Whole life that may pay yearly dividends from the insurer's surplus, which can buy paid-up additions, reduce premiums or be taken as cash.</t>
  </si>
  <si>
    <t xml:space="preserve">A policyholder uses dividends from a mutual insurer to buy paid-up additions.</t>
  </si>
  <si>
    <t xml:space="preserve">Sold mainly by mutual insurers (e.g. Northwestern Mutual, MassMutual, New York Life). Dividends are not guaranteed.</t>
  </si>
  <si>
    <t xml:space="preserve">Life Insurance &gt; Permanent Life &gt; Whole Life &gt; Participating Whole Life</t>
  </si>
  <si>
    <t xml:space="preserve">life.permanent.whole.non_participating</t>
  </si>
  <si>
    <t xml:space="preserve">Non-Participating Whole Life</t>
  </si>
  <si>
    <t xml:space="preserve">Non-par whole life</t>
  </si>
  <si>
    <t xml:space="preserve">Whole life with fixed guarantees and no dividends, usually at a lower premium.</t>
  </si>
  <si>
    <t xml:space="preserve">A buyer wants predictable costs without dividends.</t>
  </si>
  <si>
    <t xml:space="preserve">Life Insurance &gt; Permanent Life &gt; Whole Life &gt; Non-Participating Whole Life</t>
  </si>
  <si>
    <t xml:space="preserve">life.permanent.whole.limited_pay</t>
  </si>
  <si>
    <t xml:space="preserve">Limited Pay Whole Life</t>
  </si>
  <si>
    <t xml:space="preserve">10-pay; 20-pay; Paid-up at 65</t>
  </si>
  <si>
    <t xml:space="preserve">Whole life where premiums are paid for a set number of years or until a certain age, but cover lasts for life.</t>
  </si>
  <si>
    <t xml:space="preserve">A 40-year-old pays for 20 years so nothing is owed in retirement.</t>
  </si>
  <si>
    <t xml:space="preserve">Life Insurance &gt; Permanent Life &gt; Whole Life &gt; Limited Pay Whole Life</t>
  </si>
  <si>
    <t xml:space="preserve">life.permanent.whole.single_premium</t>
  </si>
  <si>
    <t xml:space="preserve">Single Premium Whole Life (SPWL)</t>
  </si>
  <si>
    <t xml:space="preserve">Whole life bought with one lump-sum payment.</t>
  </si>
  <si>
    <t xml:space="preserve">A retiree moves an inheritance into a single-premium policy for their heirs.</t>
  </si>
  <si>
    <t xml:space="preserve">Usually a Modified Endowment Contract (MEC), so loans and withdrawals are taxed less favorably.</t>
  </si>
  <si>
    <t xml:space="preserve">Life Insurance &gt; Permanent Life &gt; Whole Life &gt; Single Premium Whole Life (SPWL)</t>
  </si>
  <si>
    <t xml:space="preserve">life.permanent.whole.final_expense</t>
  </si>
  <si>
    <t xml:space="preserve">Final Expense Insurance</t>
  </si>
  <si>
    <t xml:space="preserve">Burial insurance; Funeral insurance</t>
  </si>
  <si>
    <t xml:space="preserve">Small whole life policy (often $5,000-$25,000), with simplified medical questions, meant to cover funeral and end-of-life costs.</t>
  </si>
  <si>
    <t xml:space="preserve">A 70-year-old buys $10,000 of cover so their children won't have to pay for the funeral.</t>
  </si>
  <si>
    <t xml:space="preserve">Heavily marketed to seniors aged 50-85.</t>
  </si>
  <si>
    <t xml:space="preserve">Life Insurance &gt; Permanent Life &gt; Whole Life &gt; Final Expense Insurance</t>
  </si>
  <si>
    <t xml:space="preserve">life.permanent.whole.guaranteed_issue</t>
  </si>
  <si>
    <t xml:space="preserve">Guaranteed Issue Whole Life</t>
  </si>
  <si>
    <t xml:space="preserve">Guaranteed acceptance life</t>
  </si>
  <si>
    <t xml:space="preserve">Whole life that accepts anyone in the eligible age range with no health questions; benefits are usually limited in the first two years (a "graded" death benefit).</t>
  </si>
  <si>
    <t xml:space="preserve">A person with serious health conditions who can't qualify elsewhere buys a small guaranteed policy.</t>
  </si>
  <si>
    <t xml:space="preserve">Life Insurance &gt; Permanent Life &gt; Whole Life &gt; Guaranteed Issue Whole Life</t>
  </si>
  <si>
    <t xml:space="preserve">life.permanent.whole.industrial</t>
  </si>
  <si>
    <t xml:space="preserve">Industrial / Home Service Life</t>
  </si>
  <si>
    <t xml:space="preserve">Debit life</t>
  </si>
  <si>
    <t xml:space="preserve">Very small whole life policies historically sold door to door with weekly or monthly premium collection.</t>
  </si>
  <si>
    <t xml:space="preserve">A family in the 1950s paid a collector each week for a small burial policy.</t>
  </si>
  <si>
    <t xml:space="preserve">Largely a legacy product; few new sales today.</t>
  </si>
  <si>
    <t xml:space="preserve">Life Insurance &gt; Permanent Life &gt; Whole Life &gt; Industrial / Home Service Life</t>
  </si>
  <si>
    <t xml:space="preserve">life.permanent.universal</t>
  </si>
  <si>
    <t xml:space="preserve">Universal Life (UL)</t>
  </si>
  <si>
    <t xml:space="preserve">Flexible premium adjustable life</t>
  </si>
  <si>
    <t xml:space="preserve">Permanent cover with flexible premiums and an adjustable death benefit; the cash value earns interest credited in different ways depending on the type.</t>
  </si>
  <si>
    <t xml:space="preserve">A self-employed person with uneven income varies their payments each year.</t>
  </si>
  <si>
    <t xml:space="preserve">Life Insurance &gt; Permanent Life &gt; Universal Life (UL)</t>
  </si>
  <si>
    <t xml:space="preserve">life.permanent.universal.current_assumption</t>
  </si>
  <si>
    <t xml:space="preserve">Current Assumption Universal Life</t>
  </si>
  <si>
    <t xml:space="preserve">Traditional UL; Fixed UL</t>
  </si>
  <si>
    <t xml:space="preserve">The cash value earns an interest rate declared by the insurer, with a minimum guaranteed rate.</t>
  </si>
  <si>
    <t xml:space="preserve">A buyer wants flexible permanent cover with steady, insurer-declared interest.</t>
  </si>
  <si>
    <t xml:space="preserve">Life Insurance &gt; Permanent Life &gt; Universal Life (UL) &gt; Current Assumption Universal Life</t>
  </si>
  <si>
    <t xml:space="preserve">life.permanent.universal.gul</t>
  </si>
  <si>
    <t xml:space="preserve">Guaranteed Universal Life (GUL)</t>
  </si>
  <si>
    <t xml:space="preserve">No-lapse guarantee UL</t>
  </si>
  <si>
    <t xml:space="preserve">UL built mainly for a guaranteed lifelong death benefit at the lowest cost, with little cash value.</t>
  </si>
  <si>
    <t xml:space="preserve">A retiree wants guaranteed cover to age 100+ for estate planning at a lower price than whole life.</t>
  </si>
  <si>
    <t xml:space="preserve">Popular for estate planning; reserves governed by NAIC Actuarial Guideline 38 (AXXX).</t>
  </si>
  <si>
    <t xml:space="preserve">Life Insurance &gt; Permanent Life &gt; Universal Life (UL) &gt; Guaranteed Universal Life (GUL)</t>
  </si>
  <si>
    <t xml:space="preserve">life.permanent.universal.iul</t>
  </si>
  <si>
    <t xml:space="preserve">Indexed Universal Life (IUL)</t>
  </si>
  <si>
    <t xml:space="preserve">Equity-indexed UL; Fixed indexed UL</t>
  </si>
  <si>
    <t xml:space="preserve">Cash value earns interest linked to a stock market index (e.g. the S&amp;P 500), subject to a cap and a floor (often 0%), so it doesn't lose value from market drops.</t>
  </si>
  <si>
    <t xml:space="preserve">A buyer wants some market-linked growth in their policy without direct stock market losses.</t>
  </si>
  <si>
    <t xml:space="preserve">Illustrations are regulated by NAIC Actuarial Guideline 49-A. Not a registered security.</t>
  </si>
  <si>
    <t xml:space="preserve">Life Insurance &gt; Permanent Life &gt; Universal Life (UL) &gt; Indexed Universal Life (IUL)</t>
  </si>
  <si>
    <t xml:space="preserve">life.permanent.universal.vul</t>
  </si>
  <si>
    <t xml:space="preserve">Variable Universal Life (VUL)</t>
  </si>
  <si>
    <t xml:space="preserve">Cash value is invested in sub-accounts similar to mutual funds, so it can grow or lose value.</t>
  </si>
  <si>
    <t xml:space="preserve">An investor comfortable with risk picks equity funds inside their life policy.</t>
  </si>
  <si>
    <t xml:space="preserve">Regulated as a security: sold with a prospectus by FINRA-registered representatives.</t>
  </si>
  <si>
    <t xml:space="preserve">Life Insurance &gt; Permanent Life &gt; Universal Life (UL) &gt; Variable Universal Life (VUL)</t>
  </si>
  <si>
    <t xml:space="preserve">life.permanent.universal.survivorship</t>
  </si>
  <si>
    <t xml:space="preserve">Survivorship Universal Life</t>
  </si>
  <si>
    <t xml:space="preserve">Second-to-die; Joint and last survivor</t>
  </si>
  <si>
    <t xml:space="preserve">Covers two people (usually spouses) and pays out only after both have died.</t>
  </si>
  <si>
    <t xml:space="preserve">A wealthy couple buys cover to pay estate taxes their heirs will owe after both die.</t>
  </si>
  <si>
    <t xml:space="preserve">Often owned by an Irrevocable Life Insurance Trust (ILIT) to keep proceeds out of the taxable estate.</t>
  </si>
  <si>
    <t xml:space="preserve">Life Insurance &gt; Permanent Life &gt; Universal Life (UL) &gt; Survivorship Universal Life</t>
  </si>
  <si>
    <t xml:space="preserve">life.permanent.variable_life</t>
  </si>
  <si>
    <t xml:space="preserve">Variable Life</t>
  </si>
  <si>
    <t xml:space="preserve">Variable whole life</t>
  </si>
  <si>
    <t xml:space="preserve">Permanent cover with fixed premiums where the cash value and possibly the death benefit depend on investment performance.</t>
  </si>
  <si>
    <t xml:space="preserve">A policyholder chooses investment sub-accounts inside a fixed-premium policy.</t>
  </si>
  <si>
    <t xml:space="preserve">Regulated as a security (SEC/FINRA) as well as by state insurance departments.</t>
  </si>
  <si>
    <t xml:space="preserve">Life Insurance &gt; Permanent Life &gt; Variable Life</t>
  </si>
  <si>
    <t xml:space="preserve">life.annuities</t>
  </si>
  <si>
    <t xml:space="preserve">Annuities</t>
  </si>
  <si>
    <t xml:space="preserve">Turns a lump sum or series of payments into a stream of income, often for life. Annuities protect against outliving your savings rather than dying early.</t>
  </si>
  <si>
    <t xml:space="preserve">A retiree uses part of their savings to buy guaranteed monthly income for life.</t>
  </si>
  <si>
    <t xml:space="preserve">Sold by life insurers; earnings grow tax-deferred. Fixed annuities are state-regulated; variable and registered index-linked annuities are also SEC/FINRA-regulated.</t>
  </si>
  <si>
    <t xml:space="preserve">Life Insurance &gt; Annuities</t>
  </si>
  <si>
    <t xml:space="preserve">life.annuities.immediate</t>
  </si>
  <si>
    <t xml:space="preserve">Immediate Annuity</t>
  </si>
  <si>
    <t xml:space="preserve">Single Premium Immediate Annuity (SPIA); Income annuity</t>
  </si>
  <si>
    <t xml:space="preserve">A lump sum is paid in and income starts right away, usually within a year.</t>
  </si>
  <si>
    <t xml:space="preserve">A 67-year-old pays $200,000 and receives about $1,200 a month for life.</t>
  </si>
  <si>
    <t xml:space="preserve">Life Insurance &gt; Annuities &gt; Immediate Annuity</t>
  </si>
  <si>
    <t xml:space="preserve">life.annuities.deferred</t>
  </si>
  <si>
    <t xml:space="preserve">Deferred Annuity</t>
  </si>
  <si>
    <t xml:space="preserve">Money grows for years before income starts.</t>
  </si>
  <si>
    <t xml:space="preserve">A 50-year-old invests now to start income at 65.</t>
  </si>
  <si>
    <t xml:space="preserve">Withdrawals before age 59 1/2 usually face a 10% IRS penalty on earnings.</t>
  </si>
  <si>
    <t xml:space="preserve">Life Insurance &gt; Annuities &gt; Deferred Annuity</t>
  </si>
  <si>
    <t xml:space="preserve">life.annuities.deferred.fixed</t>
  </si>
  <si>
    <t xml:space="preserve">Fixed Annuity</t>
  </si>
  <si>
    <t xml:space="preserve">Multi-Year Guaranteed Annuity (MYGA)</t>
  </si>
  <si>
    <t xml:space="preserve">Earns a guaranteed fixed interest rate for a set period.</t>
  </si>
  <si>
    <t xml:space="preserve">A cautious saver locks in a 5% rate for 5 years.</t>
  </si>
  <si>
    <t xml:space="preserve">Life Insurance &gt; Annuities &gt; Deferred Annuity &gt; Fixed Annuity</t>
  </si>
  <si>
    <t xml:space="preserve">life.annuities.deferred.fia</t>
  </si>
  <si>
    <t xml:space="preserve">Fixed Indexed Annuity (FIA)</t>
  </si>
  <si>
    <t xml:space="preserve">Equity-indexed annuity</t>
  </si>
  <si>
    <t xml:space="preserve">Interest is linked to a market index with a cap and a zero floor, so principal isn't lost to market drops.</t>
  </si>
  <si>
    <t xml:space="preserve">A pre-retiree wants some index-linked growth with no loss of principal.</t>
  </si>
  <si>
    <t xml:space="preserve">State-regulated insurance product, not a security.</t>
  </si>
  <si>
    <t xml:space="preserve">Life Insurance &gt; Annuities &gt; Deferred Annuity &gt; Fixed Indexed Annuity (FIA)</t>
  </si>
  <si>
    <t xml:space="preserve">life.annuities.deferred.variable</t>
  </si>
  <si>
    <t xml:space="preserve">Variable Annuity</t>
  </si>
  <si>
    <t xml:space="preserve">Money is invested in sub-accounts, so value can rise or fall; optional riders can guarantee income or a death benefit.</t>
  </si>
  <si>
    <t xml:space="preserve">An investor holds funds inside a variable annuity with a lifetime income rider.</t>
  </si>
  <si>
    <t xml:space="preserve">Sold with a prospectus; FINRA Rule 2330 governs suitability.</t>
  </si>
  <si>
    <t xml:space="preserve">Life Insurance &gt; Annuities &gt; Deferred Annuity &gt; Variable Annuity</t>
  </si>
  <si>
    <t xml:space="preserve">life.annuities.deferred.variable.gmdb</t>
  </si>
  <si>
    <t xml:space="preserve">Guaranteed Minimum Death Benefit (GMDB)</t>
  </si>
  <si>
    <t xml:space="preserve">Enhanced death benefit</t>
  </si>
  <si>
    <t xml:space="preserve">A variable annuity rider guaranteeing heirs receive at least a set amount (e.g. premiums paid or a high-water mark) even if investments fell.</t>
  </si>
  <si>
    <t xml:space="preserve">Markets drop 30% but the owner's heirs still get the full amount invested.</t>
  </si>
  <si>
    <t xml:space="preserve">Life Insurance &gt; Annuities &gt; Deferred Annuity &gt; Variable Annuity &gt; Guaranteed Minimum Death Benefit (GMDB)</t>
  </si>
  <si>
    <t xml:space="preserve">life.annuities.deferred.variable.glwb</t>
  </si>
  <si>
    <t xml:space="preserve">Guaranteed Lifetime Withdrawal Benefit (GLWB)</t>
  </si>
  <si>
    <t xml:space="preserve">GMWB; Lifetime income rider</t>
  </si>
  <si>
    <t xml:space="preserve">A rider that lets you withdraw a set percentage each year for life, even if the account value runs out.</t>
  </si>
  <si>
    <t xml:space="preserve">A retiree withdraws 5% of a $400,000 benefit base every year for life.</t>
  </si>
  <si>
    <t xml:space="preserve">The most common living benefit rider on US variable and indexed annuities.</t>
  </si>
  <si>
    <t xml:space="preserve">Life Insurance &gt; Annuities &gt; Deferred Annuity &gt; Variable Annuity &gt; Guaranteed Lifetime Withdrawal Benefit (GLWB)</t>
  </si>
  <si>
    <t xml:space="preserve">life.annuities.deferred.variable.gmib</t>
  </si>
  <si>
    <t xml:space="preserve">Guaranteed Minimum Income Benefit (GMIB)</t>
  </si>
  <si>
    <t xml:space="preserve">A rider guaranteeing a minimum level of lifetime income if the contract is annuitized after a waiting period.</t>
  </si>
  <si>
    <t xml:space="preserve">An owner annuitizes at 70 using a guaranteed income base.</t>
  </si>
  <si>
    <t xml:space="preserve">Less widely sold today than GLWBs.</t>
  </si>
  <si>
    <t xml:space="preserve">Life Insurance &gt; Annuities &gt; Deferred Annuity &gt; Variable Annuity &gt; Guaranteed Minimum Income Benefit (GMIB)</t>
  </si>
  <si>
    <t xml:space="preserve">life.annuities.deferred.variable.gmab</t>
  </si>
  <si>
    <t xml:space="preserve">Guaranteed Minimum Accumulation Benefit (GMAB)</t>
  </si>
  <si>
    <t xml:space="preserve">A rider guaranteeing the account will be worth at least a set amount after a waiting period, such as 10 years.</t>
  </si>
  <si>
    <t xml:space="preserve">After 10 years the account is topped up to the original premium.</t>
  </si>
  <si>
    <t xml:space="preserve">Life Insurance &gt; Annuities &gt; Deferred Annuity &gt; Variable Annuity &gt; Guaranteed Minimum Accumulation Benefit (GMAB)</t>
  </si>
  <si>
    <t xml:space="preserve">life.annuities.deferred.rila</t>
  </si>
  <si>
    <t xml:space="preserve">Registered Index-Linked Annuity (RILA)</t>
  </si>
  <si>
    <t xml:space="preserve">Buffered annuity; Structured annuity</t>
  </si>
  <si>
    <t xml:space="preserve">Index-linked returns with a buffer or floor that limits (but does not remove) losses, in exchange for higher caps.</t>
  </si>
  <si>
    <t xml:space="preserve">A saver accepts losses beyond -10% in exchange for a higher upside cap.</t>
  </si>
  <si>
    <t xml:space="preserve">SEC-registered; one of the fastest-growing US annuity categories since 2020.</t>
  </si>
  <si>
    <t xml:space="preserve">Life Insurance &gt; Annuities &gt; Deferred Annuity &gt; Registered Index-Linked Annuity (RILA)</t>
  </si>
  <si>
    <t xml:space="preserve">life.annuities.deferred.qlac</t>
  </si>
  <si>
    <t xml:space="preserve">Qualified Longevity Annuity Contract (QLAC)</t>
  </si>
  <si>
    <t xml:space="preserve">Longevity annuity</t>
  </si>
  <si>
    <t xml:space="preserve">A deferred annuity bought with retirement account (e.g. IRA, 401(k)) money that can start paying as late as age 85.</t>
  </si>
  <si>
    <t xml:space="preserve">A retiree uses part of an IRA to guarantee income from age 85.</t>
  </si>
  <si>
    <t xml:space="preserve">Premium limit set by IRS (indexed; $200,000 after SECURE 2.0). Excluded from required minimum distributions until payments start.</t>
  </si>
  <si>
    <t xml:space="preserve">Life Insurance &gt; Annuities &gt; Deferred Annuity &gt; Qualified Longevity Annuity Contract (QLAC)</t>
  </si>
  <si>
    <t xml:space="preserve">life.annuities.joint</t>
  </si>
  <si>
    <t xml:space="preserve">Joint and Survivor Annuity</t>
  </si>
  <si>
    <t xml:space="preserve">Keeps paying income while either of two people is alive, sometimes at a reduced rate after the first dies.</t>
  </si>
  <si>
    <t xml:space="preserve">A married couple buys an annuity that pays until the second spouse dies.</t>
  </si>
  <si>
    <t xml:space="preserve">ERISA requires this as the default form for married participants in many pension plans.</t>
  </si>
  <si>
    <t xml:space="preserve">Life Insurance &gt; Annuities &gt; Joint and Survivor Annuity</t>
  </si>
  <si>
    <t xml:space="preserve">life.annuities.structured_settlement</t>
  </si>
  <si>
    <t xml:space="preserve">Structured Settlement Annuity</t>
  </si>
  <si>
    <t xml:space="preserve">An annuity used to pay a lawsuit or injury settlement as a stream of payments instead of a lump sum.</t>
  </si>
  <si>
    <t xml:space="preserve">An injury victim receives monthly payments for 30 years from a settlement.</t>
  </si>
  <si>
    <t xml:space="preserve">Payments for physical injury are generally tax-free under IRC Section 104.</t>
  </si>
  <si>
    <t xml:space="preserve">Life Insurance &gt; Annuities &gt; Structured Settlement Annuity</t>
  </si>
  <si>
    <t xml:space="preserve">life.annuities.pension_risk_transfer</t>
  </si>
  <si>
    <t xml:space="preserve">Pension Risk Transfer (Group Annuity)</t>
  </si>
  <si>
    <t xml:space="preserve">Pension buyout; Group annuity contract</t>
  </si>
  <si>
    <t xml:space="preserve">An employer pays an insurer to take over its pension obligations, and the insurer pays retirees' pensions.</t>
  </si>
  <si>
    <t xml:space="preserve">A manufacturer transfers its retirees' pensions to a life insurer.</t>
  </si>
  <si>
    <t xml:space="preserve">Commercial</t>
  </si>
  <si>
    <t xml:space="preserve">Governed by ERISA and Department of Labor Interpretive Bulletin 95-1 on selecting annuity providers.</t>
  </si>
  <si>
    <t xml:space="preserve">Life Insurance &gt; Annuities &gt; Pension Risk Transfer (Group Annuity)</t>
  </si>
  <si>
    <t xml:space="preserve">life.group_life</t>
  </si>
  <si>
    <t xml:space="preserve">Group Life &amp; Employee Benefits</t>
  </si>
  <si>
    <t xml:space="preserve">Employee benefits</t>
  </si>
  <si>
    <t xml:space="preserve">Life and related covers bought by an employer for staff as part of a benefits package.</t>
  </si>
  <si>
    <t xml:space="preserve">A tech company offers life cover, disability cover and a retirement plan to all employees.</t>
  </si>
  <si>
    <t xml:space="preserve">Most employer benefit plans are governed by ERISA.</t>
  </si>
  <si>
    <t xml:space="preserve">Life Insurance &gt; Group Life &amp; Employee Benefits</t>
  </si>
  <si>
    <t xml:space="preserve">life.group_life.group_term</t>
  </si>
  <si>
    <t xml:space="preserve">Group Term Life</t>
  </si>
  <si>
    <t xml:space="preserve">Basic life</t>
  </si>
  <si>
    <t xml:space="preserve">Employer-paid life cover, usually a flat amount or a multiple of salary, lasting while the person is employed.</t>
  </si>
  <si>
    <t xml:space="preserve">An employee's family receives 2x salary if they die while employed.</t>
  </si>
  <si>
    <t xml:space="preserve">Employer-paid coverage above $50,000 creates taxable imputed income for the employee (IRC Section 79).</t>
  </si>
  <si>
    <t xml:space="preserve">Life Insurance &gt; Group Life &amp; Employee Benefits &gt; Group Term Life</t>
  </si>
  <si>
    <t xml:space="preserve">life.group_life.supplemental</t>
  </si>
  <si>
    <t xml:space="preserve">Supplemental / Voluntary Life</t>
  </si>
  <si>
    <t xml:space="preserve">Optional life</t>
  </si>
  <si>
    <t xml:space="preserve">Extra life cover that employees can buy through work at group rates, paid via payroll.</t>
  </si>
  <si>
    <t xml:space="preserve">An employee adds $300,000 of extra cover beyond the free employer-paid amount.</t>
  </si>
  <si>
    <t xml:space="preserve">Both</t>
  </si>
  <si>
    <t xml:space="preserve">Life Insurance &gt; Group Life &amp; Employee Benefits &gt; Supplemental / Voluntary Life</t>
  </si>
  <si>
    <t xml:space="preserve">life.group_life.dependent_life</t>
  </si>
  <si>
    <t xml:space="preserve">Dependent Life</t>
  </si>
  <si>
    <t xml:space="preserve">Spouse and child life</t>
  </si>
  <si>
    <t xml:space="preserve">Small group life coverage on an employee's spouse and children.</t>
  </si>
  <si>
    <t xml:space="preserve">An employee adds $20,000 of cover for their spouse.</t>
  </si>
  <si>
    <t xml:space="preserve">Life Insurance &gt; Group Life &amp; Employee Benefits &gt; Dependent Life</t>
  </si>
  <si>
    <t xml:space="preserve">life.group_life.key_person</t>
  </si>
  <si>
    <t xml:space="preserve">Key Person Insurance</t>
  </si>
  <si>
    <t xml:space="preserve">Key man insurance</t>
  </si>
  <si>
    <t xml:space="preserve">A business insures the life of a vital employee or owner, and the business receives the payout.</t>
  </si>
  <si>
    <t xml:space="preserve">A startup insures its founder CTO so it can afford to replace her if she dies.</t>
  </si>
  <si>
    <t xml:space="preserve">Employer-owned policies must meet IRC Section 101(j) notice and consent rules for tax-free proceeds.</t>
  </si>
  <si>
    <t xml:space="preserve">Life Insurance &gt; Group Life &amp; Employee Benefits &gt; Key Person Insurance</t>
  </si>
  <si>
    <t xml:space="preserve">life.group_life.buy_sell</t>
  </si>
  <si>
    <t xml:space="preserve">Buy-Sell Funding</t>
  </si>
  <si>
    <t xml:space="preserve">Cross-purchase; Entity redemption</t>
  </si>
  <si>
    <t xml:space="preserve">Life cover used to fund an agreement where surviving owners buy a deceased owner's share of the business.</t>
  </si>
  <si>
    <t xml:space="preserve">Two partners each insure the other so the survivor can buy out the family of the deceased.</t>
  </si>
  <si>
    <t xml:space="preserve">Life Insurance &gt; Group Life &amp; Employee Benefits &gt; Buy-Sell Funding</t>
  </si>
  <si>
    <t xml:space="preserve">life.group_life.coli</t>
  </si>
  <si>
    <t xml:space="preserve">Corporate-Owned Life Insurance (COLI)</t>
  </si>
  <si>
    <t xml:space="preserve">Bank-owned life insurance (BOLI)</t>
  </si>
  <si>
    <t xml:space="preserve">Life policies owned by a company on employees, often used to fund executive benefit obligations.</t>
  </si>
  <si>
    <t xml:space="preserve">A bank owns policies on executives to help fund deferred compensation.</t>
  </si>
  <si>
    <t xml:space="preserve">Life Insurance &gt; Group Life &amp; Employee Benefits &gt; Corporate-Owned Life Insurance (COLI)</t>
  </si>
  <si>
    <t xml:space="preserve">life.group_life.split_dollar</t>
  </si>
  <si>
    <t xml:space="preserve">Split-Dollar Life</t>
  </si>
  <si>
    <t xml:space="preserve">An arrangement where an employer and employee share the cost and benefits of a permanent life policy.</t>
  </si>
  <si>
    <t xml:space="preserve">A company pays premiums on an executive's policy and recovers them at death.</t>
  </si>
  <si>
    <t xml:space="preserve">Taxed under IRS split-dollar regulations (2003).</t>
  </si>
  <si>
    <t xml:space="preserve">Life Insurance &gt; Group Life &amp; Employee Benefits &gt; Split-Dollar Life</t>
  </si>
  <si>
    <t xml:space="preserve">life.life_riders</t>
  </si>
  <si>
    <t xml:space="preserve">Life Insurance Riders</t>
  </si>
  <si>
    <t xml:space="preserve">Add-ons; Optional benefits</t>
  </si>
  <si>
    <t xml:space="preserve">Optional extras added to a life policy, often for an extra premium.</t>
  </si>
  <si>
    <t xml:space="preserve">A buyer adds a waiver of premium rider to a term policy.</t>
  </si>
  <si>
    <t xml:space="preserve">Life Insurance &gt; Life Insurance Riders</t>
  </si>
  <si>
    <t xml:space="preserve">life.life_riders.adb</t>
  </si>
  <si>
    <t xml:space="preserve">Accidental Death Benefit Rider</t>
  </si>
  <si>
    <t xml:space="preserve">Double indemnity</t>
  </si>
  <si>
    <t xml:space="preserve">Pays an extra amount if death is caused by an accident.</t>
  </si>
  <si>
    <t xml:space="preserve">A policy pays double the face amount after a fatal car crash.</t>
  </si>
  <si>
    <t xml:space="preserve">Life Insurance &gt; Life Insurance Riders &gt; Accidental Death Benefit Rider</t>
  </si>
  <si>
    <t xml:space="preserve">life.life_riders.wop</t>
  </si>
  <si>
    <t xml:space="preserve">Waiver of Premium Rider</t>
  </si>
  <si>
    <t xml:space="preserve">Stops premiums being due if the policyholder becomes totally disabled, keeping the cover in force.</t>
  </si>
  <si>
    <t xml:space="preserve">After a disabling stroke, the insured's policy stays active without further payments.</t>
  </si>
  <si>
    <t xml:space="preserve">Life Insurance &gt; Life Insurance Riders &gt; Waiver of Premium Rider</t>
  </si>
  <si>
    <t xml:space="preserve">life.life_riders.abr</t>
  </si>
  <si>
    <t xml:space="preserve">Accelerated Death Benefit Rider</t>
  </si>
  <si>
    <t xml:space="preserve">Living benefits rider</t>
  </si>
  <si>
    <t xml:space="preserve">Lets a terminally, chronically or critically ill insured receive part of the death benefit while still alive.</t>
  </si>
  <si>
    <t xml:space="preserve">A patient given 6 months to live gets an advance on their policy to pay for care.</t>
  </si>
  <si>
    <t xml:space="preserve">Terminal illness acceleration is generally tax-free under the HIPAA 1996 rules.</t>
  </si>
  <si>
    <t xml:space="preserve">Life Insurance &gt; Life Insurance Riders &gt; Accelerated Death Benefit Rider</t>
  </si>
  <si>
    <t xml:space="preserve">life.life_riders.abr.terminal</t>
  </si>
  <si>
    <t xml:space="preserve">Terminal Illness Rider</t>
  </si>
  <si>
    <t xml:space="preserve">Pays part of the death benefit early if life expectancy is 12 or 24 months or less.</t>
  </si>
  <si>
    <t xml:space="preserve">A cancer patient receives 75% of the benefit early.</t>
  </si>
  <si>
    <t xml:space="preserve">Life Insurance &gt; Life Insurance Riders &gt; Accelerated Death Benefit Rider &gt; Terminal Illness Rider</t>
  </si>
  <si>
    <t xml:space="preserve">life.life_riders.abr.chronic</t>
  </si>
  <si>
    <t xml:space="preserve">Chronic Illness Rider</t>
  </si>
  <si>
    <t xml:space="preserve">Pays part of the death benefit early if you can't perform 2 of 6 activities of daily living.</t>
  </si>
  <si>
    <t xml:space="preserve">A policyholder unable to bathe or dress unaided receives monthly payments.</t>
  </si>
  <si>
    <t xml:space="preserve">Life Insurance &gt; Life Insurance Riders &gt; Accelerated Death Benefit Rider &gt; Chronic Illness Rider</t>
  </si>
  <si>
    <t xml:space="preserve">life.life_riders.abr.critical</t>
  </si>
  <si>
    <t xml:space="preserve">Critical Illness Rider</t>
  </si>
  <si>
    <t xml:space="preserve">Pays part of the death benefit early on diagnosis of a listed condition such as heart attack or stroke.</t>
  </si>
  <si>
    <t xml:space="preserve">A policyholder draws $50,000 after a heart attack.</t>
  </si>
  <si>
    <t xml:space="preserve">Life Insurance &gt; Life Insurance Riders &gt; Accelerated Death Benefit Rider &gt; Critical Illness Rider</t>
  </si>
  <si>
    <t xml:space="preserve">life.life_riders.ltc_rider</t>
  </si>
  <si>
    <t xml:space="preserve">Long-Term Care Rider</t>
  </si>
  <si>
    <t xml:space="preserve">Lets the death benefit be used to pay for long-term care costs, meeting federal tax-qualified LTC rules.</t>
  </si>
  <si>
    <t xml:space="preserve">An insured with dementia uses part of the death benefit to pay for memory care.</t>
  </si>
  <si>
    <t xml:space="preserve">Tax-qualified under IRC Section 7702B when it meets federal standards.</t>
  </si>
  <si>
    <t xml:space="preserve">Life Insurance &gt; Life Insurance Riders &gt; Long-Term Care Rider</t>
  </si>
  <si>
    <t xml:space="preserve">life.life_riders.child_rider</t>
  </si>
  <si>
    <t xml:space="preserve">Child Term Rider</t>
  </si>
  <si>
    <t xml:space="preserve">Children's term</t>
  </si>
  <si>
    <t xml:space="preserve">Adds small term cover for the policyholder's children.</t>
  </si>
  <si>
    <t xml:space="preserve">A parent adds $10,000 of cover for all children on their own policy.</t>
  </si>
  <si>
    <t xml:space="preserve">Life Insurance &gt; Life Insurance Riders &gt; Child Term Rider</t>
  </si>
  <si>
    <t xml:space="preserve">life.life_riders.gir</t>
  </si>
  <si>
    <t xml:space="preserve">Guaranteed Insurability Rider</t>
  </si>
  <si>
    <t xml:space="preserve">Guaranteed purchase option</t>
  </si>
  <si>
    <t xml:space="preserve">Lets you buy more cover at set times or life events without new medical checks.</t>
  </si>
  <si>
    <t xml:space="preserve">A policyholder increases cover after the birth of a child without a medical exam.</t>
  </si>
  <si>
    <t xml:space="preserve">Life Insurance &gt; Life Insurance Riders &gt; Guaranteed Insurability Rider</t>
  </si>
  <si>
    <t xml:space="preserve">life.life_riders.pua</t>
  </si>
  <si>
    <t xml:space="preserve">Paid-Up Additions Rider</t>
  </si>
  <si>
    <t xml:space="preserve">PUA rider</t>
  </si>
  <si>
    <t xml:space="preserve">Lets you pay extra premium into a whole life policy to buy small amounts of fully paid-up cover, boosting cash value.</t>
  </si>
  <si>
    <t xml:space="preserve">A policyholder adds $5,000 a year of PUAs to grow cash value faster.</t>
  </si>
  <si>
    <t xml:space="preserve">Must be managed to avoid MEC status.</t>
  </si>
  <si>
    <t xml:space="preserve">Life Insurance &gt; Life Insurance Riders &gt; Paid-Up Additions Rider</t>
  </si>
  <si>
    <t xml:space="preserve">health</t>
  </si>
  <si>
    <t xml:space="preserve">Health Insurance</t>
  </si>
  <si>
    <t xml:space="preserve">Medical insurance; Health coverage</t>
  </si>
  <si>
    <t xml:space="preserve">Pays for medical care, or pays cash, when you are ill, injured or disabled.</t>
  </si>
  <si>
    <t xml:space="preserve">A family's plan pays most of the hospital bill when a child needs surgery.</t>
  </si>
  <si>
    <t xml:space="preserve">Private plans are regulated by states and by federal law (ACA, ERISA, HIPAA). Government programs are listed under Social &amp; Government Programs.</t>
  </si>
  <si>
    <t xml:space="preserve">health.major_medical</t>
  </si>
  <si>
    <t xml:space="preserve">Major Medical (Comprehensive)</t>
  </si>
  <si>
    <t xml:space="preserve">Health plan</t>
  </si>
  <si>
    <t xml:space="preserve">Comprehensive health cover for doctor visits, hospital stays, prescriptions and preventive care, bought individually or through an employer.</t>
  </si>
  <si>
    <t xml:space="preserve">A freelancer buys an individual plan on the marketplace.</t>
  </si>
  <si>
    <t xml:space="preserve">Under the ACA, major medical plans must cover 10 essential health benefits, can't deny pre-existing conditions, and have annual out-of-pocket maximums.</t>
  </si>
  <si>
    <t xml:space="preserve">Health Insurance &gt; Major Medical (Comprehensive)</t>
  </si>
  <si>
    <t xml:space="preserve">health.major_medical.plan_types</t>
  </si>
  <si>
    <t xml:space="preserve">Network Plan Types</t>
  </si>
  <si>
    <t xml:space="preserve">Managed care plans</t>
  </si>
  <si>
    <t xml:space="preserve">Plan designs that control cost through provider networks and rules on referrals.</t>
  </si>
  <si>
    <t xml:space="preserve">An employee chooses between an HMO and a PPO during open enrollment.</t>
  </si>
  <si>
    <t xml:space="preserve">Health Insurance &gt; Major Medical (Comprehensive) &gt; Network Plan Types</t>
  </si>
  <si>
    <t xml:space="preserve">health.major_medical.plan_types.hmo</t>
  </si>
  <si>
    <t xml:space="preserve">Health Maintenance Organization (HMO)</t>
  </si>
  <si>
    <t xml:space="preserve">You must use the plan's network and usually need a referral from your primary care physician (PCP) to see a specialist; out-of-network care is not covered except emergencies.</t>
  </si>
  <si>
    <t xml:space="preserve">A family accepts a narrow network for lower premiums.</t>
  </si>
  <si>
    <t xml:space="preserve">Licensed under state HMO laws; example: Kaiser Permanente.</t>
  </si>
  <si>
    <t xml:space="preserve">Health Insurance &gt; Major Medical (Comprehensive) &gt; Network Plan Types &gt; Health Maintenance Organization (HMO)</t>
  </si>
  <si>
    <t xml:space="preserve">health.major_medical.plan_types.ppo</t>
  </si>
  <si>
    <t xml:space="preserve">Preferred Provider Organization (PPO)</t>
  </si>
  <si>
    <t xml:space="preserve">You can see any doctor without referrals; in-network care costs less, and out-of-network care is partly covered.</t>
  </si>
  <si>
    <t xml:space="preserve">A person who travels a lot picks a PPO to see specialists anywhere.</t>
  </si>
  <si>
    <t xml:space="preserve">The most common plan type in employer coverage.</t>
  </si>
  <si>
    <t xml:space="preserve">Health Insurance &gt; Major Medical (Comprehensive) &gt; Network Plan Types &gt; Preferred Provider Organization (PPO)</t>
  </si>
  <si>
    <t xml:space="preserve">health.major_medical.plan_types.epo</t>
  </si>
  <si>
    <t xml:space="preserve">Exclusive Provider Organization (EPO)</t>
  </si>
  <si>
    <t xml:space="preserve">Like a PPO with no referrals, but only in-network care is covered (except emergencies).</t>
  </si>
  <si>
    <t xml:space="preserve">A worker happy with the local network picks an EPO to save money.</t>
  </si>
  <si>
    <t xml:space="preserve">Health Insurance &gt; Major Medical (Comprehensive) &gt; Network Plan Types &gt; Exclusive Provider Organization (EPO)</t>
  </si>
  <si>
    <t xml:space="preserve">health.major_medical.plan_types.pos</t>
  </si>
  <si>
    <t xml:space="preserve">Point of Service (POS)</t>
  </si>
  <si>
    <t xml:space="preserve">A hybrid: you choose a PCP and need referrals like an HMO, but can go out of network at higher cost like a PPO.</t>
  </si>
  <si>
    <t xml:space="preserve">A family wants a gatekeeper doctor with some out-of-network flexibility.</t>
  </si>
  <si>
    <t xml:space="preserve">Health Insurance &gt; Major Medical (Comprehensive) &gt; Network Plan Types &gt; Point of Service (POS)</t>
  </si>
  <si>
    <t xml:space="preserve">health.major_medical.plan_types.hdhp</t>
  </si>
  <si>
    <t xml:space="preserve">High Deductible Health Plan (HDHP)</t>
  </si>
  <si>
    <t xml:space="preserve">HSA-eligible plan; Consumer-directed health plan</t>
  </si>
  <si>
    <t xml:space="preserve">A plan with a high deductible and lower premium; it can be paired with a tax-advantaged Health Savings Account (HSA).</t>
  </si>
  <si>
    <t xml:space="preserve">A healthy 28-year-old picks an HDHP and saves the premium difference in an HSA.</t>
  </si>
  <si>
    <t xml:space="preserve">The IRS sets minimum deductibles and maximum out-of-pocket limits yearly for HSA eligibility.</t>
  </si>
  <si>
    <t xml:space="preserve">Health Insurance &gt; Major Medical (Comprehensive) &gt; Network Plan Types &gt; High Deductible Health Plan (HDHP)</t>
  </si>
  <si>
    <t xml:space="preserve">health.major_medical.plan_types.indemnity</t>
  </si>
  <si>
    <t xml:space="preserve">Fee-for-Service Indemnity Plan</t>
  </si>
  <si>
    <t xml:space="preserve">Traditional indemnity</t>
  </si>
  <si>
    <t xml:space="preserve">Pays a share of any provider's bills with no network; now rare and expensive.</t>
  </si>
  <si>
    <t xml:space="preserve">A patient sees any doctor and is reimbursed 80% after the deductible.</t>
  </si>
  <si>
    <t xml:space="preserve">Health Insurance &gt; Major Medical (Comprehensive) &gt; Network Plan Types &gt; Fee-for-Service Indemnity Plan</t>
  </si>
  <si>
    <t xml:space="preserve">health.major_medical.individual_market</t>
  </si>
  <si>
    <t xml:space="preserve">Individual Market Plans</t>
  </si>
  <si>
    <t xml:space="preserve">Marketplace plans; Obamacare plans</t>
  </si>
  <si>
    <t xml:space="preserve">Health plans people buy for themselves, on or off the government exchanges.</t>
  </si>
  <si>
    <t xml:space="preserve">A self-employed person compares plans on HealthCare.gov and qualifies for a subsidy.</t>
  </si>
  <si>
    <t xml:space="preserve">Sold on HealthCare.gov or a state-run exchange (e.g. Covered California). Premium tax credits available on-exchange by income. Open enrollment runs each fall.</t>
  </si>
  <si>
    <t xml:space="preserve">Health Insurance &gt; Major Medical (Comprehensive) &gt; Individual Market Plans</t>
  </si>
  <si>
    <t xml:space="preserve">health.major_medical.individual_market.bronze</t>
  </si>
  <si>
    <t xml:space="preserve">Bronze Plan</t>
  </si>
  <si>
    <t xml:space="preserve">Covers about 60% of average costs: lowest premium, highest out-of-pocket.</t>
  </si>
  <si>
    <t xml:space="preserve">A young healthy person wants protection mostly against large bills.</t>
  </si>
  <si>
    <t xml:space="preserve">Actuarial value approx. 60%.</t>
  </si>
  <si>
    <t xml:space="preserve">Health Insurance &gt; Major Medical (Comprehensive) &gt; Individual Market Plans &gt; Bronze Plan</t>
  </si>
  <si>
    <t xml:space="preserve">health.major_medical.individual_market.silver</t>
  </si>
  <si>
    <t xml:space="preserve">Silver Plan</t>
  </si>
  <si>
    <t xml:space="preserve">Covers about 70% of average costs; the only tier eligible for extra cost-sharing reductions for lower incomes.</t>
  </si>
  <si>
    <t xml:space="preserve">A low-income household picks silver to get reduced deductibles.</t>
  </si>
  <si>
    <t xml:space="preserve">The second-lowest-cost silver plan is the benchmark for subsidies.</t>
  </si>
  <si>
    <t xml:space="preserve">Health Insurance &gt; Major Medical (Comprehensive) &gt; Individual Market Plans &gt; Silver Plan</t>
  </si>
  <si>
    <t xml:space="preserve">health.major_medical.individual_market.silver.csr_73</t>
  </si>
  <si>
    <t xml:space="preserve">Silver 73% CSR Variant</t>
  </si>
  <si>
    <t xml:space="preserve">Enhanced silver 73</t>
  </si>
  <si>
    <t xml:space="preserve">A silver plan version with lower deductibles and copays (about 73% actuarial value) for enrollees with incomes of 200-250% of the federal poverty level.</t>
  </si>
  <si>
    <t xml:space="preserve">A household at 220% of poverty gets a lower deductible automatically.</t>
  </si>
  <si>
    <t xml:space="preserve">Cost-sharing reductions are available only on-exchange with a silver plan.</t>
  </si>
  <si>
    <t xml:space="preserve">Health Insurance &gt; Major Medical (Comprehensive) &gt; Individual Market Plans &gt; Silver Plan &gt; Silver 73% CSR Variant</t>
  </si>
  <si>
    <t xml:space="preserve">health.major_medical.individual_market.silver.csr_87</t>
  </si>
  <si>
    <t xml:space="preserve">Silver 87% CSR Variant</t>
  </si>
  <si>
    <t xml:space="preserve">Enhanced silver 87</t>
  </si>
  <si>
    <t xml:space="preserve">A silver plan version with about 87% actuarial value for incomes of 150-200% of the federal poverty level.</t>
  </si>
  <si>
    <t xml:space="preserve">A single adult at 175% of poverty pays a much lower deductible.</t>
  </si>
  <si>
    <t xml:space="preserve">Health Insurance &gt; Major Medical (Comprehensive) &gt; Individual Market Plans &gt; Silver Plan &gt; Silver 87% CSR Variant</t>
  </si>
  <si>
    <t xml:space="preserve">health.major_medical.individual_market.silver.csr_94</t>
  </si>
  <si>
    <t xml:space="preserve">Silver 94% CSR Variant</t>
  </si>
  <si>
    <t xml:space="preserve">Enhanced silver 94</t>
  </si>
  <si>
    <t xml:space="preserve">A silver plan version with about 94% actuarial value for incomes of 100-150% of the federal poverty level.</t>
  </si>
  <si>
    <t xml:space="preserve">A low-income worker gets near-platinum cost sharing at a silver price.</t>
  </si>
  <si>
    <t xml:space="preserve">Health Insurance &gt; Major Medical (Comprehensive) &gt; Individual Market Plans &gt; Silver Plan &gt; Silver 94% CSR Variant</t>
  </si>
  <si>
    <t xml:space="preserve">health.major_medical.individual_market.gold</t>
  </si>
  <si>
    <t xml:space="preserve">Gold Plan</t>
  </si>
  <si>
    <t xml:space="preserve">Covers about 80% of average costs: higher premium, lower out-of-pocket.</t>
  </si>
  <si>
    <t xml:space="preserve">Someone with regular prescriptions picks gold.</t>
  </si>
  <si>
    <t xml:space="preserve">Actuarial value approx. 80%.</t>
  </si>
  <si>
    <t xml:space="preserve">Health Insurance &gt; Major Medical (Comprehensive) &gt; Individual Market Plans &gt; Gold Plan</t>
  </si>
  <si>
    <t xml:space="preserve">health.major_medical.individual_market.platinum</t>
  </si>
  <si>
    <t xml:space="preserve">Platinum Plan</t>
  </si>
  <si>
    <t xml:space="preserve">Covers about 90% of average costs: highest premium, lowest out-of-pocket.</t>
  </si>
  <si>
    <t xml:space="preserve">A person expecting major surgery chooses platinum.</t>
  </si>
  <si>
    <t xml:space="preserve">Not offered in every state.</t>
  </si>
  <si>
    <t xml:space="preserve">Health Insurance &gt; Major Medical (Comprehensive) &gt; Individual Market Plans &gt; Platinum Plan</t>
  </si>
  <si>
    <t xml:space="preserve">health.major_medical.individual_market.catastrophic</t>
  </si>
  <si>
    <t xml:space="preserve">Catastrophic Plan</t>
  </si>
  <si>
    <t xml:space="preserve">Very high deductible plan for people under 30 or with a hardship exemption; covers preventive care and 3 primary care visits before the deductible.</t>
  </si>
  <si>
    <t xml:space="preserve">A 25-year-old buys a catastrophic plan as a safety net.</t>
  </si>
  <si>
    <t xml:space="preserve">Not eligible for premium tax credits.</t>
  </si>
  <si>
    <t xml:space="preserve">Health Insurance &gt; Major Medical (Comprehensive) &gt; Individual Market Plans &gt; Catastrophic Plan</t>
  </si>
  <si>
    <t xml:space="preserve">health.major_medical.group_health</t>
  </si>
  <si>
    <t xml:space="preserve">Employer Group Health</t>
  </si>
  <si>
    <t xml:space="preserve">Employer-sponsored insurance (ESI)</t>
  </si>
  <si>
    <t xml:space="preserve">Health cover an employer offers to employees and their families, usually sharing the premium cost.</t>
  </si>
  <si>
    <t xml:space="preserve">A company covers employees and their dependents under one plan.</t>
  </si>
  <si>
    <t xml:space="preserve">The largest source of US health coverage. Employers with 50+ full-time employees face the ACA employer mandate.</t>
  </si>
  <si>
    <t xml:space="preserve">Health Insurance &gt; Major Medical (Comprehensive) &gt; Employer Group Health</t>
  </si>
  <si>
    <t xml:space="preserve">health.major_medical.group_health.fully_insured</t>
  </si>
  <si>
    <t xml:space="preserve">Fully Insured Plan</t>
  </si>
  <si>
    <t xml:space="preserve">The employer pays premiums and the insurer carries the claims risk.</t>
  </si>
  <si>
    <t xml:space="preserve">A 50-person firm buys a standard group plan from an insurer.</t>
  </si>
  <si>
    <t xml:space="preserve">Subject to state insurance mandates.</t>
  </si>
  <si>
    <t xml:space="preserve">Health Insurance &gt; Major Medical (Comprehensive) &gt; Employer Group Health &gt; Fully Insured Plan</t>
  </si>
  <si>
    <t xml:space="preserve">health.major_medical.group_health.self_funded</t>
  </si>
  <si>
    <t xml:space="preserve">Self-Funded (ASO) Plan</t>
  </si>
  <si>
    <t xml:space="preserve">Self-insured plan; Administrative Services Only</t>
  </si>
  <si>
    <t xml:space="preserve">The employer pays claims from its own funds and hires an insurer or third-party administrator (TPA) only to process them.</t>
  </si>
  <si>
    <t xml:space="preserve">A large retailer self-funds health claims to control costs.</t>
  </si>
  <si>
    <t xml:space="preserve">Governed by federal ERISA, which preempts most state insurance mandates.</t>
  </si>
  <si>
    <t xml:space="preserve">Health Insurance &gt; Major Medical (Comprehensive) &gt; Employer Group Health &gt; Self-Funded (ASO) Plan</t>
  </si>
  <si>
    <t xml:space="preserve">health.major_medical.group_health.stop_loss</t>
  </si>
  <si>
    <t xml:space="preserve">Medical Stop-Loss</t>
  </si>
  <si>
    <t xml:space="preserve">Excess risk insurance</t>
  </si>
  <si>
    <t xml:space="preserve">Protects a self-funded employer against very large individual claims (specific) or high total claims (aggregate).</t>
  </si>
  <si>
    <t xml:space="preserve">A self-funded employer is reimbursed for an employee's $1 million cancer treatment above a $150,000 deductible.</t>
  </si>
  <si>
    <t xml:space="preserve">Regulated by states as insurance to the employer, not as health insurance.</t>
  </si>
  <si>
    <t xml:space="preserve">Health Insurance &gt; Major Medical (Comprehensive) &gt; Employer Group Health &gt; Medical Stop-Loss</t>
  </si>
  <si>
    <t xml:space="preserve">health.major_medical.group_health.level_funded</t>
  </si>
  <si>
    <t xml:space="preserve">Level-Funded Plan</t>
  </si>
  <si>
    <t xml:space="preserve">A small-business form of self-funding with fixed monthly payments that include stop-loss cover and possible year-end refunds.</t>
  </si>
  <si>
    <t xml:space="preserve">A 40-person company gets a refund when claims are lower than expected.</t>
  </si>
  <si>
    <t xml:space="preserve">Health Insurance &gt; Major Medical (Comprehensive) &gt; Employer Group Health &gt; Level-Funded Plan</t>
  </si>
  <si>
    <t xml:space="preserve">health.major_medical.group_health.ichra</t>
  </si>
  <si>
    <t xml:space="preserve">Individual Coverage HRA (ICHRA)</t>
  </si>
  <si>
    <t xml:space="preserve">The employer gives tax-free money that employees use to buy their own individual-market plans.</t>
  </si>
  <si>
    <t xml:space="preserve">A startup gives each employee $500 a month to buy a marketplace plan.</t>
  </si>
  <si>
    <t xml:space="preserve">Created by federal rule in 2020.</t>
  </si>
  <si>
    <t xml:space="preserve">Health Insurance &gt; Major Medical (Comprehensive) &gt; Employer Group Health &gt; Individual Coverage HRA (ICHRA)</t>
  </si>
  <si>
    <t xml:space="preserve">health.major_medical.group_health.cobra</t>
  </si>
  <si>
    <t xml:space="preserve">COBRA Continuation Coverage</t>
  </si>
  <si>
    <t xml:space="preserve">Lets employees and families keep their employer group plan for a limited time (usually 18 months) after leaving a job, paying the full premium.</t>
  </si>
  <si>
    <t xml:space="preserve">A laid-off worker keeps the family on the group plan for 18 months.</t>
  </si>
  <si>
    <t xml:space="preserve">Federal law for employers with 20+ employees; many states have "mini-COBRA" laws for smaller employers.</t>
  </si>
  <si>
    <t xml:space="preserve">Health Insurance &gt; Major Medical (Comprehensive) &gt; Employer Group Health &gt; COBRA Continuation Coverage</t>
  </si>
  <si>
    <t xml:space="preserve">health.major_medical.short_term</t>
  </si>
  <si>
    <t xml:space="preserve">Short-Term Limited-Duration Insurance (STLDI)</t>
  </si>
  <si>
    <t xml:space="preserve">Short-term health</t>
  </si>
  <si>
    <t xml:space="preserve">Temporary health cover that doesn't have to follow ACA rules, so it can exclude pre-existing conditions.</t>
  </si>
  <si>
    <t xml:space="preserve">Someone between jobs buys a 3-month plan.</t>
  </si>
  <si>
    <t xml:space="preserve">Federal duration limits have changed several times (2018 and 2024 rules; check current federal status). Some states restrict or ban it outright.</t>
  </si>
  <si>
    <t xml:space="preserve">Health Insurance &gt; Major Medical (Comprehensive) &gt; Short-Term Limited-Duration Insurance (STLDI)</t>
  </si>
  <si>
    <t xml:space="preserve">health.major_medical.health_sharing</t>
  </si>
  <si>
    <t xml:space="preserve">Health Care Sharing Ministries</t>
  </si>
  <si>
    <t xml:space="preserve">Health sharing plans</t>
  </si>
  <si>
    <t xml:space="preserve">Members of a faith-based group share each other's medical bills; this is not insurance and has no guarantee of payment.</t>
  </si>
  <si>
    <t xml:space="preserve">A family joins a sharing ministry and submits bills to be shared by members.</t>
  </si>
  <si>
    <t xml:space="preserve">Not regulated as insurance in most states; exempt from ACA rules.</t>
  </si>
  <si>
    <t xml:space="preserve">Health Insurance &gt; Major Medical (Comprehensive) &gt; Health Care Sharing Ministries</t>
  </si>
  <si>
    <t xml:space="preserve">health.medicare_private</t>
  </si>
  <si>
    <t xml:space="preserve">Private Medicare Plans</t>
  </si>
  <si>
    <t xml:space="preserve">Medicare private options</t>
  </si>
  <si>
    <t xml:space="preserve">Private insurance products that work with or replace federal Medicare benefits.</t>
  </si>
  <si>
    <t xml:space="preserve">A 65-year-old chooses between Medigap and a Medicare Advantage plan.</t>
  </si>
  <si>
    <t xml:space="preserve">Regulated by CMS (federal) plus state insurance departments for Medigap. Original Medicare itself is under Social &amp; Government Programs.</t>
  </si>
  <si>
    <t xml:space="preserve">Health Insurance &gt; Private Medicare Plans</t>
  </si>
  <si>
    <t xml:space="preserve">health.medicare_private.medicare_advantage</t>
  </si>
  <si>
    <t xml:space="preserve">Medicare Advantage (Part C)</t>
  </si>
  <si>
    <t xml:space="preserve">MA plan</t>
  </si>
  <si>
    <t xml:space="preserve">A private plan that replaces Original Medicare, often as an HMO or PPO, usually including drug coverage and extras like dental and vision.</t>
  </si>
  <si>
    <t xml:space="preserve">A retiree picks a $0-premium HMO Medicare Advantage plan with dental.</t>
  </si>
  <si>
    <t xml:space="preserve">Now covers roughly half of Medicare beneficiaries. Annual enrollment Oct 15-Dec 7.</t>
  </si>
  <si>
    <t xml:space="preserve">Health Insurance &gt; Private Medicare Plans &gt; Medicare Advantage (Part C)</t>
  </si>
  <si>
    <t xml:space="preserve">health.medicare_private.medicare_advantage.ma_hmo</t>
  </si>
  <si>
    <t xml:space="preserve">Medicare Advantage HMO</t>
  </si>
  <si>
    <t xml:space="preserve">A Medicare Advantage plan with a network and referrals.</t>
  </si>
  <si>
    <t xml:space="preserve">A retiree uses doctors in the plan's local network.</t>
  </si>
  <si>
    <t xml:space="preserve">Health Insurance &gt; Private Medicare Plans &gt; Medicare Advantage (Part C) &gt; Medicare Advantage HMO</t>
  </si>
  <si>
    <t xml:space="preserve">health.medicare_private.medicare_advantage.ma_ppo</t>
  </si>
  <si>
    <t xml:space="preserve">Medicare Advantage PPO</t>
  </si>
  <si>
    <t xml:space="preserve">A Medicare Advantage plan that also partly covers out-of-network care.</t>
  </si>
  <si>
    <t xml:space="preserve">A retiree who spends winters in another state picks a PPO.</t>
  </si>
  <si>
    <t xml:space="preserve">Health Insurance &gt; Private Medicare Plans &gt; Medicare Advantage (Part C) &gt; Medicare Advantage PPO</t>
  </si>
  <si>
    <t xml:space="preserve">health.medicare_private.medicare_advantage.snp</t>
  </si>
  <si>
    <t xml:space="preserve">Special Needs Plan (SNP)</t>
  </si>
  <si>
    <t xml:space="preserve">A Medicare Advantage plan for people who are also on Medicaid (D-SNP), have certain chronic conditions (C-SNP) or live in institutions (I-SNP).</t>
  </si>
  <si>
    <t xml:space="preserve">A low-income senior on both Medicare and Medicaid joins a D-SNP.</t>
  </si>
  <si>
    <t xml:space="preserve">Health Insurance &gt; Private Medicare Plans &gt; Medicare Advantage (Part C) &gt; Special Needs Plan (SNP)</t>
  </si>
  <si>
    <t xml:space="preserve">health.medicare_private.medicare_advantage.snp.d_snp</t>
  </si>
  <si>
    <t xml:space="preserve">Dual Eligible SNP (D-SNP)</t>
  </si>
  <si>
    <t xml:space="preserve">For people who have both Medicare and Medicaid; coordinates benefits of the two programs.</t>
  </si>
  <si>
    <t xml:space="preserve">A low-income senior gets Medicare and Medicaid benefits through one plan.</t>
  </si>
  <si>
    <t xml:space="preserve">The largest SNP type.</t>
  </si>
  <si>
    <t xml:space="preserve">Health Insurance &gt; Private Medicare Plans &gt; Medicare Advantage (Part C) &gt; Special Needs Plan (SNP) &gt; Dual Eligible SNP (D-SNP)</t>
  </si>
  <si>
    <t xml:space="preserve">health.medicare_private.medicare_advantage.snp.c_snp</t>
  </si>
  <si>
    <t xml:space="preserve">Chronic Condition SNP (C-SNP)</t>
  </si>
  <si>
    <t xml:space="preserve">For people with specific severe chronic conditions such as diabetes, heart failure or ESRD.</t>
  </si>
  <si>
    <t xml:space="preserve">A retiree with heart failure joins a plan with specialised care coordination.</t>
  </si>
  <si>
    <t xml:space="preserve">Health Insurance &gt; Private Medicare Plans &gt; Medicare Advantage (Part C) &gt; Special Needs Plan (SNP) &gt; Chronic Condition SNP (C-SNP)</t>
  </si>
  <si>
    <t xml:space="preserve">health.medicare_private.medicare_advantage.snp.i_snp</t>
  </si>
  <si>
    <t xml:space="preserve">Institutional SNP (I-SNP)</t>
  </si>
  <si>
    <t xml:space="preserve">For people who live in nursing homes or need that level of care at home.</t>
  </si>
  <si>
    <t xml:space="preserve">A nursing home resident's plan provides on-site care teams.</t>
  </si>
  <si>
    <t xml:space="preserve">Health Insurance &gt; Private Medicare Plans &gt; Medicare Advantage (Part C) &gt; Special Needs Plan (SNP) &gt; Institutional SNP (I-SNP)</t>
  </si>
  <si>
    <t xml:space="preserve">health.medicare_private.medicare_advantage.pffs</t>
  </si>
  <si>
    <t xml:space="preserve">Private Fee-for-Service (PFFS)</t>
  </si>
  <si>
    <t xml:space="preserve">A Medicare Advantage plan that sets its own payment terms with any provider willing to accept them.</t>
  </si>
  <si>
    <t xml:space="preserve">Rare today; available in a few rural areas.</t>
  </si>
  <si>
    <t xml:space="preserve">Health Insurance &gt; Private Medicare Plans &gt; Medicare Advantage (Part C) &gt; Private Fee-for-Service (PFFS)</t>
  </si>
  <si>
    <t xml:space="preserve">health.medicare_private.medicare_advantage.msa</t>
  </si>
  <si>
    <t xml:space="preserve">Medicare Medical Savings Account (MSA)</t>
  </si>
  <si>
    <t xml:space="preserve">A high-deductible Medicare Advantage plan paired with a savings account funded by Medicare.</t>
  </si>
  <si>
    <t xml:space="preserve">A healthy retiree uses the deposit toward costs before the deductible.</t>
  </si>
  <si>
    <t xml:space="preserve">Limited availability.</t>
  </si>
  <si>
    <t xml:space="preserve">Health Insurance &gt; Private Medicare Plans &gt; Medicare Advantage (Part C) &gt; Medicare Medical Savings Account (MSA)</t>
  </si>
  <si>
    <t xml:space="preserve">health.medicare_private.part_d</t>
  </si>
  <si>
    <t xml:space="preserve">Medicare Part D (Prescription Drug Plan)</t>
  </si>
  <si>
    <t xml:space="preserve">PDP</t>
  </si>
  <si>
    <t xml:space="preserve">Standalone private plans that cover prescription drugs for people on Original Medicare.</t>
  </si>
  <si>
    <t xml:space="preserve">A retiree with Original Medicare adds a Part D plan for their medications.</t>
  </si>
  <si>
    <t xml:space="preserve">Inflation Reduction Act capped Part D out-of-pocket spending at $2,000 in 2025 (indexed after).</t>
  </si>
  <si>
    <t xml:space="preserve">Health Insurance &gt; Private Medicare Plans &gt; Medicare Part D (Prescription Drug Plan)</t>
  </si>
  <si>
    <t xml:space="preserve">health.medicare_private.medigap</t>
  </si>
  <si>
    <t xml:space="preserve">Medicare Supplement (Medigap)</t>
  </si>
  <si>
    <t xml:space="preserve">Med Supp</t>
  </si>
  <si>
    <t xml:space="preserve">Private policies that pay gaps in Original Medicare, such as deductibles and 20% coinsurance, sold as standardized plans lettered A-N.</t>
  </si>
  <si>
    <t xml:space="preserve">A 66-year-old buys Medigap Plan G to limit out-of-pocket costs.</t>
  </si>
  <si>
    <t xml:space="preserve">Plans standardized by federal law; Massachusetts, Minnesota and Wisconsin use their own designs.</t>
  </si>
  <si>
    <t xml:space="preserve">Health Insurance &gt; Private Medicare Plans &gt; Medicare Supplement (Medigap)</t>
  </si>
  <si>
    <t xml:space="preserve">health.medicare_private.medigap.plan_g</t>
  </si>
  <si>
    <t xml:space="preserve">Medigap Plan G</t>
  </si>
  <si>
    <t xml:space="preserve">Covers almost all gaps except the Part B deductible; the most popular plan for new enrollees.</t>
  </si>
  <si>
    <t xml:space="preserve">A new retiree picks Plan G for predictable costs.</t>
  </si>
  <si>
    <t xml:space="preserve">Health Insurance &gt; Private Medicare Plans &gt; Medicare Supplement (Medigap) &gt; Medigap Plan G</t>
  </si>
  <si>
    <t xml:space="preserve">health.medicare_private.medigap.plan_n</t>
  </si>
  <si>
    <t xml:space="preserve">Medigap Plan N</t>
  </si>
  <si>
    <t xml:space="preserve">Lower premium than G, with small copays for office and ER visits.</t>
  </si>
  <si>
    <t xml:space="preserve">A retiree who rarely sees a doctor picks Plan N.</t>
  </si>
  <si>
    <t xml:space="preserve">Health Insurance &gt; Private Medicare Plans &gt; Medicare Supplement (Medigap) &gt; Medigap Plan N</t>
  </si>
  <si>
    <t xml:space="preserve">health.medicare_private.medigap.plan_f</t>
  </si>
  <si>
    <t xml:space="preserve">Medigap Plan F</t>
  </si>
  <si>
    <t xml:space="preserve">Covers all gaps including the Part B deductible.</t>
  </si>
  <si>
    <t xml:space="preserve">A retiree eligible before 2020 keeps Plan F.</t>
  </si>
  <si>
    <t xml:space="preserve">Closed to people newly eligible for Medicare on or after Jan 1, 2020 (MACRA).</t>
  </si>
  <si>
    <t xml:space="preserve">Health Insurance &gt; Private Medicare Plans &gt; Medicare Supplement (Medigap) &gt; Medigap Plan F</t>
  </si>
  <si>
    <t xml:space="preserve">health.medicare_private.medigap.high_deductible_g</t>
  </si>
  <si>
    <t xml:space="preserve">High-Deductible Plan G</t>
  </si>
  <si>
    <t xml:space="preserve">HDG</t>
  </si>
  <si>
    <t xml:space="preserve">Same benefits as Plan G after a yearly deductible, for a much lower premium.</t>
  </si>
  <si>
    <t xml:space="preserve">A healthy retiree takes the high deductible to save on premiums.</t>
  </si>
  <si>
    <t xml:space="preserve">Health Insurance &gt; Private Medicare Plans &gt; Medicare Supplement (Medigap) &gt; High-Deductible Plan G</t>
  </si>
  <si>
    <t xml:space="preserve">health.supplemental</t>
  </si>
  <si>
    <t xml:space="preserve">Supplemental Health (Voluntary Benefits)</t>
  </si>
  <si>
    <t xml:space="preserve">Fixed indemnity plans; Worksite benefits</t>
  </si>
  <si>
    <t xml:space="preserve">Pays fixed cash amounts for specific events, on top of major medical, to help with out-of-pocket costs.</t>
  </si>
  <si>
    <t xml:space="preserve">A worker gets a cash payment after an accident to help cover the deductible.</t>
  </si>
  <si>
    <t xml:space="preserve">Commonly sold at the worksite through payroll deduction (e.g. Aflac, Colonial Life). "Excepted benefits" not subject to ACA rules.</t>
  </si>
  <si>
    <t xml:space="preserve">Health Insurance &gt; Supplemental Health (Voluntary Benefits)</t>
  </si>
  <si>
    <t xml:space="preserve">health.supplemental.critical_illness</t>
  </si>
  <si>
    <t xml:space="preserve">Critical Illness Insurance</t>
  </si>
  <si>
    <t xml:space="preserve">Specified disease insurance</t>
  </si>
  <si>
    <t xml:space="preserve">Pays a lump sum on diagnosis of a listed serious illness like cancer, heart attack or stroke.</t>
  </si>
  <si>
    <t xml:space="preserve">A woman diagnosed with breast cancer receives $20,000 to use as she wishes.</t>
  </si>
  <si>
    <t xml:space="preserve">Health Insurance &gt; Supplemental Health (Voluntary Benefits) &gt; Critical Illness Insurance</t>
  </si>
  <si>
    <t xml:space="preserve">health.supplemental.cancer</t>
  </si>
  <si>
    <t xml:space="preserve">Cancer Insurance</t>
  </si>
  <si>
    <t xml:space="preserve">Pays benefits specifically for cancer diagnosis and treatment.</t>
  </si>
  <si>
    <t xml:space="preserve">A person with a family history of cancer buys a cancer-only policy.</t>
  </si>
  <si>
    <t xml:space="preserve">Some states prohibit or restrict disease-specific policies.</t>
  </si>
  <si>
    <t xml:space="preserve">Health Insurance &gt; Supplemental Health (Voluntary Benefits) &gt; Cancer Insurance</t>
  </si>
  <si>
    <t xml:space="preserve">health.supplemental.hospital_indemnity</t>
  </si>
  <si>
    <t xml:space="preserve">Hospital Indemnity</t>
  </si>
  <si>
    <t xml:space="preserve">Hospital confinement indemnity</t>
  </si>
  <si>
    <t xml:space="preserve">Pays a fixed amount per day or per admission while hospitalized, regardless of actual bills.</t>
  </si>
  <si>
    <t xml:space="preserve">A patient gets $200 per day for a 5-day hospital stay.</t>
  </si>
  <si>
    <t xml:space="preserve">Health Insurance &gt; Supplemental Health (Voluntary Benefits) &gt; Hospital Indemnity</t>
  </si>
  <si>
    <t xml:space="preserve">health.supplemental.accident</t>
  </si>
  <si>
    <t xml:space="preserve">Accident Insurance</t>
  </si>
  <si>
    <t xml:space="preserve">Pays set amounts for injuries such as fractures, dislocations or ER visits caused by accidents.</t>
  </si>
  <si>
    <t xml:space="preserve">A child breaks an arm playing soccer and the family receives a fixed payment.</t>
  </si>
  <si>
    <t xml:space="preserve">Health Insurance &gt; Supplemental Health (Voluntary Benefits) &gt; Accident Insurance</t>
  </si>
  <si>
    <t xml:space="preserve">health.supplemental.dental</t>
  </si>
  <si>
    <t xml:space="preserve">Dental Insurance</t>
  </si>
  <si>
    <t xml:space="preserve">Covers preventive, basic and major dental work, often with a yearly maximum.</t>
  </si>
  <si>
    <t xml:space="preserve">A family plan covers two cleanings a year and 50% of crowns.</t>
  </si>
  <si>
    <t xml:space="preserve">Often structured as DPPO or DHMO; pediatric dental is an ACA essential health benefit.</t>
  </si>
  <si>
    <t xml:space="preserve">Health Insurance &gt; Supplemental Health (Voluntary Benefits) &gt; Dental Insurance</t>
  </si>
  <si>
    <t xml:space="preserve">health.supplemental.dental.dppo</t>
  </si>
  <si>
    <t xml:space="preserve">Dental PPO (DPPO)</t>
  </si>
  <si>
    <t xml:space="preserve">Dental plan with a network but some out-of-network coverage.</t>
  </si>
  <si>
    <t xml:space="preserve">An employee keeps their current dentist who is out of network.</t>
  </si>
  <si>
    <t xml:space="preserve">Health Insurance &gt; Supplemental Health (Voluntary Benefits) &gt; Dental Insurance &gt; Dental PPO (DPPO)</t>
  </si>
  <si>
    <t xml:space="preserve">health.supplemental.dental.dhmo</t>
  </si>
  <si>
    <t xml:space="preserve">Dental HMO (DHMO)</t>
  </si>
  <si>
    <t xml:space="preserve">Prepaid dental</t>
  </si>
  <si>
    <t xml:space="preserve">Low-cost dental plan requiring an assigned network dentist, with fixed copays.</t>
  </si>
  <si>
    <t xml:space="preserve">A family pays $10 copays at an assigned dentist.</t>
  </si>
  <si>
    <t xml:space="preserve">Health Insurance &gt; Supplemental Health (Voluntary Benefits) &gt; Dental Insurance &gt; Dental HMO (DHMO)</t>
  </si>
  <si>
    <t xml:space="preserve">health.supplemental.vision</t>
  </si>
  <si>
    <t xml:space="preserve">Vision Insurance</t>
  </si>
  <si>
    <t xml:space="preserve">Covers eye exams and part of the cost of glasses or contact lenses.</t>
  </si>
  <si>
    <t xml:space="preserve">An employee gets a yearly eye exam and a $150 frame allowance.</t>
  </si>
  <si>
    <t xml:space="preserve">Major carriers include VSP and EyeMed.</t>
  </si>
  <si>
    <t xml:space="preserve">Health Insurance &gt; Supplemental Health (Voluntary Benefits) &gt; Vision Insurance</t>
  </si>
  <si>
    <t xml:space="preserve">health.disability</t>
  </si>
  <si>
    <t xml:space="preserve">Disability Insurance</t>
  </si>
  <si>
    <t xml:space="preserve">Disability income insurance</t>
  </si>
  <si>
    <t xml:space="preserve">Replaces part of your income if illness or injury stops you from working.</t>
  </si>
  <si>
    <t xml:space="preserve">A surgeon who injures a hand receives 60% of her income until she recovers.</t>
  </si>
  <si>
    <t xml:space="preserve">Health Insurance &gt; Disability Insurance</t>
  </si>
  <si>
    <t xml:space="preserve">health.disability.std</t>
  </si>
  <si>
    <t xml:space="preserve">Short-Term Disability (STD)</t>
  </si>
  <si>
    <t xml:space="preserve">Pays part of your salary for a short period, typically 3 to 6 months, after a short waiting period.</t>
  </si>
  <si>
    <t xml:space="preserve">An employee on leave after surgery gets 60% pay for 8 weeks.</t>
  </si>
  <si>
    <t xml:space="preserve">Mandatory state programs exist in CA, HI, NJ, NY, RI and PR (see Social &amp; Government Programs).</t>
  </si>
  <si>
    <t xml:space="preserve">Health Insurance &gt; Disability Insurance &gt; Short-Term Disability (STD)</t>
  </si>
  <si>
    <t xml:space="preserve">health.disability.ltd</t>
  </si>
  <si>
    <t xml:space="preserve">Long-Term Disability (LTD)</t>
  </si>
  <si>
    <t xml:space="preserve">Pays part of your salary for long periods, often until retirement age, after a waiting period (often 90 days).</t>
  </si>
  <si>
    <t xml:space="preserve">A worker with a serious back injury receives benefits for years.</t>
  </si>
  <si>
    <t xml:space="preserve">Group LTD claims are governed by ERISA.</t>
  </si>
  <si>
    <t xml:space="preserve">Health Insurance &gt; Disability Insurance &gt; Long-Term Disability (LTD)</t>
  </si>
  <si>
    <t xml:space="preserve">health.disability.ltd.own_occ</t>
  </si>
  <si>
    <t xml:space="preserve">Own-Occupation Definition</t>
  </si>
  <si>
    <t xml:space="preserve">Own occ; True own occ</t>
  </si>
  <si>
    <t xml:space="preserve">Pays if you can't do your own specific job, even if you could do another job.</t>
  </si>
  <si>
    <t xml:space="preserve">A dentist with a hand tremor is paid even though she could teach.</t>
  </si>
  <si>
    <t xml:space="preserve">Common in individual policies for physicians and dentists.</t>
  </si>
  <si>
    <t xml:space="preserve">Health Insurance &gt; Disability Insurance &gt; Long-Term Disability (LTD) &gt; Own-Occupation Definition</t>
  </si>
  <si>
    <t xml:space="preserve">health.disability.ltd.any_occ</t>
  </si>
  <si>
    <t xml:space="preserve">Any-Occupation Definition</t>
  </si>
  <si>
    <t xml:space="preserve">Any occ</t>
  </si>
  <si>
    <t xml:space="preserve">Pays only if you can't do any job you're reasonably suited for by education and experience; cheaper but harder to claim.</t>
  </si>
  <si>
    <t xml:space="preserve">Benefits stop because the person could still do desk work.</t>
  </si>
  <si>
    <t xml:space="preserve">Group LTD often switches from own-occ to any-occ after 24 months.</t>
  </si>
  <si>
    <t xml:space="preserve">Health Insurance &gt; Disability Insurance &gt; Long-Term Disability (LTD) &gt; Any-Occupation Definition</t>
  </si>
  <si>
    <t xml:space="preserve">health.disability.individual_di</t>
  </si>
  <si>
    <t xml:space="preserve">Individual Disability Income</t>
  </si>
  <si>
    <t xml:space="preserve">IDI</t>
  </si>
  <si>
    <t xml:space="preserve">A disability policy owned by the individual, portable between jobs, often non-cancelable with guaranteed premiums.</t>
  </si>
  <si>
    <t xml:space="preserve">A self-employed lawyer buys an IDI policy.</t>
  </si>
  <si>
    <t xml:space="preserve">Health Insurance &gt; Disability Insurance &gt; Individual Disability Income</t>
  </si>
  <si>
    <t xml:space="preserve">health.disability.business_overhead</t>
  </si>
  <si>
    <t xml:space="preserve">Business Overhead Expense (BOE)</t>
  </si>
  <si>
    <t xml:space="preserve">Pays a small business's fixed expenses (rent, staff wages) while the owner is disabled.</t>
  </si>
  <si>
    <t xml:space="preserve">A dentist's rent and staff salaries are paid during recovery.</t>
  </si>
  <si>
    <t xml:space="preserve">Health Insurance &gt; Disability Insurance &gt; Business Overhead Expense (BOE)</t>
  </si>
  <si>
    <t xml:space="preserve">health.disability.disability_buy_out</t>
  </si>
  <si>
    <t xml:space="preserve">Disability Buy-Out</t>
  </si>
  <si>
    <t xml:space="preserve">Funds the purchase of a disabled business owner's share by the other owners.</t>
  </si>
  <si>
    <t xml:space="preserve">Partners buy out a colleague who became permanently disabled.</t>
  </si>
  <si>
    <t xml:space="preserve">Health Insurance &gt; Disability Insurance &gt; Disability Buy-Out</t>
  </si>
  <si>
    <t xml:space="preserve">health.disability.add</t>
  </si>
  <si>
    <t xml:space="preserve">Accidental Death &amp; Dismemberment (AD&amp;D)</t>
  </si>
  <si>
    <t xml:space="preserve">Pays fixed sums for accidental death or loss of limbs, sight, speech or hearing.</t>
  </si>
  <si>
    <t xml:space="preserve">An employee's family receives an AD&amp;D benefit after a fatal work accident.</t>
  </si>
  <si>
    <t xml:space="preserve">Often bundled with group life.</t>
  </si>
  <si>
    <t xml:space="preserve">Health Insurance &gt; Disability Insurance &gt; Accidental Death &amp; Dismemberment (AD&amp;D)</t>
  </si>
  <si>
    <t xml:space="preserve">health.ltc</t>
  </si>
  <si>
    <t xml:space="preserve">Long-Term Care Insurance</t>
  </si>
  <si>
    <t xml:space="preserve">LTC insurance</t>
  </si>
  <si>
    <t xml:space="preserve">Pays for help with daily living (bathing, dressing, eating) at home, in assisted living or in a nursing home.</t>
  </si>
  <si>
    <t xml:space="preserve">An 80-year-old with Alzheimer's has nursing home fees paid by her LTC policy.</t>
  </si>
  <si>
    <t xml:space="preserve">Medicare does not cover long-term custodial care; Medicaid does but only after assets are spent down.</t>
  </si>
  <si>
    <t xml:space="preserve">Health Insurance &gt; Long-Term Care Insurance</t>
  </si>
  <si>
    <t xml:space="preserve">health.ltc.traditional_ltc</t>
  </si>
  <si>
    <t xml:space="preserve">Traditional Standalone LTC</t>
  </si>
  <si>
    <t xml:space="preserve">A policy that pays only for long-term care, with premiums that can rise over time.</t>
  </si>
  <si>
    <t xml:space="preserve">A 55-year-old buys standalone LTC for future care.</t>
  </si>
  <si>
    <t xml:space="preserve">Many older blocks have seen large state-approved rate increases.</t>
  </si>
  <si>
    <t xml:space="preserve">Health Insurance &gt; Long-Term Care Insurance &gt; Traditional Standalone LTC</t>
  </si>
  <si>
    <t xml:space="preserve">health.ltc.hybrid_ltc</t>
  </si>
  <si>
    <t xml:space="preserve">Hybrid Life/LTC</t>
  </si>
  <si>
    <t xml:space="preserve">Linked-benefit; Asset-based LTC</t>
  </si>
  <si>
    <t xml:space="preserve">Life insurance or an annuity with long-term care benefits built in, so money is paid either for care or at death.</t>
  </si>
  <si>
    <t xml:space="preserve">A couple buys a hybrid so their premiums aren't "lost" if they never need care.</t>
  </si>
  <si>
    <t xml:space="preserve">Health Insurance &gt; Long-Term Care Insurance &gt; Hybrid Life/LTC</t>
  </si>
  <si>
    <t xml:space="preserve">health.ltc.partnership</t>
  </si>
  <si>
    <t xml:space="preserve">Long-Term Care Partnership Policy</t>
  </si>
  <si>
    <t xml:space="preserve">State Partnership plan</t>
  </si>
  <si>
    <t xml:space="preserve">A qualifying LTC policy that lets you keep extra assets and still qualify for Medicaid if you use up your benefits.</t>
  </si>
  <si>
    <t xml:space="preserve">A buyer protects $300,000 of assets by buying a Partnership policy with $300,000 of benefits.</t>
  </si>
  <si>
    <t xml:space="preserve">Available in most states under the Deficit Reduction Act of 2005.</t>
  </si>
  <si>
    <t xml:space="preserve">Health Insurance &gt; Long-Term Care Insurance &gt; Long-Term Care Partnership Policy</t>
  </si>
  <si>
    <t xml:space="preserve">health.tax_advantaged_accounts</t>
  </si>
  <si>
    <t xml:space="preserve">Tax-Advantaged Health Accounts</t>
  </si>
  <si>
    <t xml:space="preserve">Health spending accounts</t>
  </si>
  <si>
    <t xml:space="preserve">Savings or reimbursement accounts that pay medical costs with pre-tax money. They are not insurance but are closely linked to health plans.</t>
  </si>
  <si>
    <t xml:space="preserve">An employee pays a deductible from an HSA.</t>
  </si>
  <si>
    <t xml:space="preserve">Health Insurance &gt; Tax-Advantaged Health Accounts</t>
  </si>
  <si>
    <t xml:space="preserve">health.tax_advantaged_accounts.hsa</t>
  </si>
  <si>
    <t xml:space="preserve">Health Savings Account (HSA)</t>
  </si>
  <si>
    <t xml:space="preserve">A personal savings account for medical costs, only available with an HSA-eligible HDHP; money rolls over and can be invested.</t>
  </si>
  <si>
    <t xml:space="preserve">A worker contributes $4,000 a year and invests the balance.</t>
  </si>
  <si>
    <t xml:space="preserve">Contribution limits set yearly by the IRS; triple tax advantage.</t>
  </si>
  <si>
    <t xml:space="preserve">Health Insurance &gt; Tax-Advantaged Health Accounts &gt; Health Savings Account (HSA)</t>
  </si>
  <si>
    <t xml:space="preserve">health.tax_advantaged_accounts.fsa</t>
  </si>
  <si>
    <t xml:space="preserve">Flexible Spending Account (FSA)</t>
  </si>
  <si>
    <t xml:space="preserve">Health FSA</t>
  </si>
  <si>
    <t xml:space="preserve">An employer account funded by pre-tax salary for medical costs; unused money is mostly lost at year end.</t>
  </si>
  <si>
    <t xml:space="preserve">An employee sets aside $2,000 for glasses and copays.</t>
  </si>
  <si>
    <t xml:space="preserve">Limited carryover or grace period allowed by IRS.</t>
  </si>
  <si>
    <t xml:space="preserve">Health Insurance &gt; Tax-Advantaged Health Accounts &gt; Flexible Spending Account (FSA)</t>
  </si>
  <si>
    <t xml:space="preserve">health.tax_advantaged_accounts.hra</t>
  </si>
  <si>
    <t xml:space="preserve">Health Reimbursement Arrangement (HRA)</t>
  </si>
  <si>
    <t xml:space="preserve">An employer-funded account that reimburses employees' medical costs.</t>
  </si>
  <si>
    <t xml:space="preserve">An employer reimburses up to $1,500 of deductible costs.</t>
  </si>
  <si>
    <t xml:space="preserve">Health Insurance &gt; Tax-Advantaged Health Accounts &gt; Health Reimbursement Arrangement (HRA)</t>
  </si>
  <si>
    <t xml:space="preserve">property</t>
  </si>
  <si>
    <t xml:space="preserve">Personal Property Insurance</t>
  </si>
  <si>
    <t xml:space="preserve">Home insurance; Homeowners and renters insurance</t>
  </si>
  <si>
    <t xml:space="preserve">Pays to repair or replace homes and belongings that are damaged, destroyed or stolen. This branch covers personal (household) property; business property is under Commercial Lines.</t>
  </si>
  <si>
    <t xml:space="preserve">A homeowner claims for repairs after a kitchen fire.</t>
  </si>
  <si>
    <t xml:space="preserve">Regulated by states. Most standard forms come from ISO (Insurance Services Office); some insurers use their own or AAIS forms.</t>
  </si>
  <si>
    <t xml:space="preserve">property.homeowners</t>
  </si>
  <si>
    <t xml:space="preserve">Homeowners Insurance (HO Forms)</t>
  </si>
  <si>
    <t xml:space="preserve">HO policy</t>
  </si>
  <si>
    <t xml:space="preserve">Package policy for homes that combines cover for the dwelling, other structures, belongings, loss of use (extra living costs) and personal liability. Standard ISO forms are numbered HO-1 to HO-8.</t>
  </si>
  <si>
    <t xml:space="preserve">A family's HO-3 pays to rebuild the roof after a storm and to put them up in a hotel.</t>
  </si>
  <si>
    <t xml:space="preserve">Not legally required, but mortgage lenders require it. Coverage parts are labelled A (Dwelling), B (Other Structures), C (Personal Property), D (Loss of Use), E (Personal Liability), F (Medical Payments).</t>
  </si>
  <si>
    <t xml:space="preserve">Personal Property Insurance &gt; Homeowners Insurance (HO Forms)</t>
  </si>
  <si>
    <t xml:space="preserve">property.homeowners.ho1</t>
  </si>
  <si>
    <t xml:space="preserve">HO-1 Basic Form</t>
  </si>
  <si>
    <t xml:space="preserve">Covers the house against a short named list of perils such as fire, lightning, windstorm and theft.</t>
  </si>
  <si>
    <t xml:space="preserve">Offered as a bare-minimum option.</t>
  </si>
  <si>
    <t xml:space="preserve">Rarely offered today; unavailable in most states.</t>
  </si>
  <si>
    <t xml:space="preserve">Personal Property Insurance &gt; Homeowners Insurance (HO Forms) &gt; HO-1 Basic Form</t>
  </si>
  <si>
    <t xml:space="preserve">property.homeowners.ho2</t>
  </si>
  <si>
    <t xml:space="preserve">HO-2 Broad Form</t>
  </si>
  <si>
    <t xml:space="preserve">Covers the house and belongings against a longer named list of perils, including falling objects, weight of snow and burst pipes.</t>
  </si>
  <si>
    <t xml:space="preserve">A buyer wants cheaper named-peril cover rather than open-peril.</t>
  </si>
  <si>
    <t xml:space="preserve">Personal Property Insurance &gt; Homeowners Insurance (HO Forms) &gt; HO-2 Broad Form</t>
  </si>
  <si>
    <t xml:space="preserve">property.homeowners.ho3</t>
  </si>
  <si>
    <t xml:space="preserve">HO-3 Special Form</t>
  </si>
  <si>
    <t xml:space="preserve">The most common US home policy: the house is covered for all causes of loss except those excluded (open perils), while belongings are covered for named perils.</t>
  </si>
  <si>
    <t xml:space="preserve">Most mortgage-holding homeowners have an HO-3.</t>
  </si>
  <si>
    <t xml:space="preserve">Accounts for the large majority of US homeowners policies. Flood and earthquake are excluded.</t>
  </si>
  <si>
    <t xml:space="preserve">Personal Property Insurance &gt; Homeowners Insurance (HO Forms) &gt; HO-3 Special Form</t>
  </si>
  <si>
    <t xml:space="preserve">property.homeowners.ho4</t>
  </si>
  <si>
    <t xml:space="preserve">HO-4 Renters Insurance</t>
  </si>
  <si>
    <t xml:space="preserve">Tenant insurance; Contents broad form</t>
  </si>
  <si>
    <t xml:space="preserve">Covers a renter's belongings, liability and extra living expenses, but not the building.</t>
  </si>
  <si>
    <t xml:space="preserve">A student's laptop is stolen from an apartment and replaced by the renters policy.</t>
  </si>
  <si>
    <t xml:space="preserve">Many landlords require it in the lease.</t>
  </si>
  <si>
    <t xml:space="preserve">Personal Property Insurance &gt; Homeowners Insurance (HO Forms) &gt; HO-4 Renters Insurance</t>
  </si>
  <si>
    <t xml:space="preserve">property.homeowners.ho5</t>
  </si>
  <si>
    <t xml:space="preserve">HO-5 Comprehensive Form</t>
  </si>
  <si>
    <t xml:space="preserve">Open-peril cover for both the house and belongings, the broadest protection.</t>
  </si>
  <si>
    <t xml:space="preserve">A homeowner with valuable furnishings chooses HO-5.</t>
  </si>
  <si>
    <t xml:space="preserve">Personal Property Insurance &gt; Homeowners Insurance (HO Forms) &gt; HO-5 Comprehensive Form</t>
  </si>
  <si>
    <t xml:space="preserve">property.homeowners.ho6</t>
  </si>
  <si>
    <t xml:space="preserve">HO-6 Condo Insurance</t>
  </si>
  <si>
    <t xml:space="preserve">Unit-owners policy</t>
  </si>
  <si>
    <t xml:space="preserve">Covers a condo owner's belongings, interior walls, fixtures and improvements, and liability; the building shell is covered by the association's master policy.</t>
  </si>
  <si>
    <t xml:space="preserve">A condo owner claims for new kitchen cabinets after a pipe burst.</t>
  </si>
  <si>
    <t xml:space="preserve">Coverage needed depends on the HOA's master policy ("bare walls" vs "all-in").</t>
  </si>
  <si>
    <t xml:space="preserve">Personal Property Insurance &gt; Homeowners Insurance (HO Forms) &gt; HO-6 Condo Insurance</t>
  </si>
  <si>
    <t xml:space="preserve">property.homeowners.ho6.loss_assessment</t>
  </si>
  <si>
    <t xml:space="preserve">Loss Assessment Coverage</t>
  </si>
  <si>
    <t xml:space="preserve">Pays your share of a special assessment the condo or HOA charges owners after a covered loss to common property.</t>
  </si>
  <si>
    <t xml:space="preserve">The HOA charges each owner $5,000 after lobby fire damage exceeds its policy.</t>
  </si>
  <si>
    <t xml:space="preserve">Personal Property Insurance &gt; Homeowners Insurance (HO Forms) &gt; HO-6 Condo Insurance &gt; Loss Assessment Coverage</t>
  </si>
  <si>
    <t xml:space="preserve">property.homeowners.ho7</t>
  </si>
  <si>
    <t xml:space="preserve">HO-7 Mobile Home Form</t>
  </si>
  <si>
    <t xml:space="preserve">Manufactured home insurance</t>
  </si>
  <si>
    <t xml:space="preserve">Covers mobile and manufactured homes, which often need specialised cover.</t>
  </si>
  <si>
    <t xml:space="preserve">A retiree insures a manufactured home in a park.</t>
  </si>
  <si>
    <t xml:space="preserve">Many insurers use their own mobile home forms or an endorsement to HO-2/HO-3.</t>
  </si>
  <si>
    <t xml:space="preserve">Personal Property Insurance &gt; Homeowners Insurance (HO Forms) &gt; HO-7 Mobile Home Form</t>
  </si>
  <si>
    <t xml:space="preserve">property.homeowners.ho8</t>
  </si>
  <si>
    <t xml:space="preserve">HO-8 Modified Coverage Form</t>
  </si>
  <si>
    <t xml:space="preserve">Older home form</t>
  </si>
  <si>
    <t xml:space="preserve">For older homes whose rebuilding cost is far above market value; pays for repair using standard materials or actual cash value.</t>
  </si>
  <si>
    <t xml:space="preserve">A 1900s house with ornate plaster is insured under an HO-8.</t>
  </si>
  <si>
    <t xml:space="preserve">Personal Property Insurance &gt; Homeowners Insurance (HO Forms) &gt; HO-8 Modified Coverage Form</t>
  </si>
  <si>
    <t xml:space="preserve">property.home_endorsements</t>
  </si>
  <si>
    <t xml:space="preserve">Homeowners Endorsements</t>
  </si>
  <si>
    <t xml:space="preserve">Riders; Add-ons</t>
  </si>
  <si>
    <t xml:space="preserve">Optional changes to a home policy that add or broaden cover.</t>
  </si>
  <si>
    <t xml:space="preserve">A homeowner adds sewer backup and replacement cost for contents.</t>
  </si>
  <si>
    <t xml:space="preserve">Personal Property Insurance &gt; Homeowners Endorsements</t>
  </si>
  <si>
    <t xml:space="preserve">property.home_endorsements.water_backup</t>
  </si>
  <si>
    <t xml:space="preserve">Water Backup &amp; Sump Overflow</t>
  </si>
  <si>
    <t xml:space="preserve">Sewer backup</t>
  </si>
  <si>
    <t xml:space="preserve">Covers damage when water backs up through drains or a sump pump fails. Excluded by default.</t>
  </si>
  <si>
    <t xml:space="preserve">A basement floods from a sewer backup during a heavy storm.</t>
  </si>
  <si>
    <t xml:space="preserve">Personal Property Insurance &gt; Homeowners Endorsements &gt; Water Backup &amp; Sump Overflow</t>
  </si>
  <si>
    <t xml:space="preserve">property.home_endorsements.service_line</t>
  </si>
  <si>
    <t xml:space="preserve">Service Line Coverage</t>
  </si>
  <si>
    <t xml:space="preserve">Covers repair of buried utility lines (water, sewer, power) on your property.</t>
  </si>
  <si>
    <t xml:space="preserve">A cracked sewer line under the lawn is replaced.</t>
  </si>
  <si>
    <t xml:space="preserve">Personal Property Insurance &gt; Homeowners Endorsements &gt; Service Line Coverage</t>
  </si>
  <si>
    <t xml:space="preserve">property.home_endorsements.rc_contents</t>
  </si>
  <si>
    <t xml:space="preserve">Replacement Cost on Contents</t>
  </si>
  <si>
    <t xml:space="preserve">Pays to replace belongings with new ones rather than their depreciated value.</t>
  </si>
  <si>
    <t xml:space="preserve">A 5-year-old sofa is replaced with a new equivalent.</t>
  </si>
  <si>
    <t xml:space="preserve">Personal Property Insurance &gt; Homeowners Endorsements &gt; Replacement Cost on Contents</t>
  </si>
  <si>
    <t xml:space="preserve">property.home_endorsements.extended_rc</t>
  </si>
  <si>
    <t xml:space="preserve">Extended / Guaranteed Replacement Cost</t>
  </si>
  <si>
    <t xml:space="preserve">Pays extra (e.g. 125%) or the full cost to rebuild if costs exceed the dwelling limit.</t>
  </si>
  <si>
    <t xml:space="preserve">Construction costs surge after a wildfire, and the extra 25% covers the gap.</t>
  </si>
  <si>
    <t xml:space="preserve">Guaranteed replacement cost has become rare.</t>
  </si>
  <si>
    <t xml:space="preserve">Personal Property Insurance &gt; Homeowners Endorsements &gt; Extended / Guaranteed Replacement Cost</t>
  </si>
  <si>
    <t xml:space="preserve">property.home_endorsements.ordinance_law</t>
  </si>
  <si>
    <t xml:space="preserve">Ordinance or Law Coverage</t>
  </si>
  <si>
    <t xml:space="preserve">Building code upgrade</t>
  </si>
  <si>
    <t xml:space="preserve">Pays extra rebuilding costs to meet current building codes.</t>
  </si>
  <si>
    <t xml:space="preserve">A rebuilt home must meet new electrical codes.</t>
  </si>
  <si>
    <t xml:space="preserve">Personal Property Insurance &gt; Homeowners Endorsements &gt; Ordinance or Law Coverage</t>
  </si>
  <si>
    <t xml:space="preserve">property.home_endorsements.home_business</t>
  </si>
  <si>
    <t xml:space="preserve">Home Business Endorsement</t>
  </si>
  <si>
    <t xml:space="preserve">Adds cover for business property and liability for small businesses run from home.</t>
  </si>
  <si>
    <t xml:space="preserve">A home bakery adds cover for its equipment and customers.</t>
  </si>
  <si>
    <t xml:space="preserve">Personal Property Insurance &gt; Homeowners Endorsements &gt; Home Business Endorsement</t>
  </si>
  <si>
    <t xml:space="preserve">property.home_endorsements.identity_theft_endorsement</t>
  </si>
  <si>
    <t xml:space="preserve">Identity Fraud Expense</t>
  </si>
  <si>
    <t xml:space="preserve">Pays costs to restore your identity after identity theft.</t>
  </si>
  <si>
    <t xml:space="preserve">Fees and lost wages from fixing credit reports are reimbursed.</t>
  </si>
  <si>
    <t xml:space="preserve">Personal Property Insurance &gt; Homeowners Endorsements &gt; Identity Fraud Expense</t>
  </si>
  <si>
    <t xml:space="preserve">property.dwelling_fire</t>
  </si>
  <si>
    <t xml:space="preserve">Dwelling Fire Policies (DP Forms)</t>
  </si>
  <si>
    <t xml:space="preserve">Landlord policy; Dwelling property</t>
  </si>
  <si>
    <t xml:space="preserve">Policies for homes that aren't owner-occupied, such as rentals or vacant homes, covering the building but not the tenant's belongings.</t>
  </si>
  <si>
    <t xml:space="preserve">A landlord insures a rented house with a DP-3.</t>
  </si>
  <si>
    <t xml:space="preserve">Liability is usually added by endorsement or a separate policy.</t>
  </si>
  <si>
    <t xml:space="preserve">Personal Property Insurance &gt; Dwelling Fire Policies (DP Forms)</t>
  </si>
  <si>
    <t xml:space="preserve">property.dwelling_fire.dp1</t>
  </si>
  <si>
    <t xml:space="preserve">DP-1 Basic Form</t>
  </si>
  <si>
    <t xml:space="preserve">Named perils (fire, lightning, internal explosion) with optional extended coverage, usually paid at actual cash value.</t>
  </si>
  <si>
    <t xml:space="preserve">A cheap policy for a vacant cabin.</t>
  </si>
  <si>
    <t xml:space="preserve">Personal Property Insurance &gt; Dwelling Fire Policies (DP Forms) &gt; DP-1 Basic Form</t>
  </si>
  <si>
    <t xml:space="preserve">property.dwelling_fire.dp2</t>
  </si>
  <si>
    <t xml:space="preserve">DP-2 Broad Form</t>
  </si>
  <si>
    <t xml:space="preserve">Broader named perils, usually paid at replacement cost.</t>
  </si>
  <si>
    <t xml:space="preserve">A small landlord wants mid-level cover.</t>
  </si>
  <si>
    <t xml:space="preserve">Personal Property Insurance &gt; Dwelling Fire Policies (DP Forms) &gt; DP-2 Broad Form</t>
  </si>
  <si>
    <t xml:space="preserve">property.dwelling_fire.dp3</t>
  </si>
  <si>
    <t xml:space="preserve">DP-3 Special Form</t>
  </si>
  <si>
    <t xml:space="preserve">Open-peril cover for the dwelling at replacement cost, the most common landlord form.</t>
  </si>
  <si>
    <t xml:space="preserve">An investor insures three rental homes on DP-3.</t>
  </si>
  <si>
    <t xml:space="preserve">Personal Property Insurance &gt; Dwelling Fire Policies (DP Forms) &gt; DP-3 Special Form</t>
  </si>
  <si>
    <t xml:space="preserve">property.catastrophe</t>
  </si>
  <si>
    <t xml:space="preserve">Natural Catastrophe Coverage</t>
  </si>
  <si>
    <t xml:space="preserve">Cat coverage</t>
  </si>
  <si>
    <t xml:space="preserve">Separate or add-on cover for natural disasters that standard home policies exclude or limit.</t>
  </si>
  <si>
    <t xml:space="preserve">A coastal homeowner buys separate flood and windstorm policies.</t>
  </si>
  <si>
    <t xml:space="preserve">Personal Property Insurance &gt; Natural Catastrophe Coverage</t>
  </si>
  <si>
    <t xml:space="preserve">property.catastrophe.flood</t>
  </si>
  <si>
    <t xml:space="preserve">Flood Insurance</t>
  </si>
  <si>
    <t xml:space="preserve">Covers damage from rising water and surface flooding, which almost all homeowners policies exclude.</t>
  </si>
  <si>
    <t xml:space="preserve">A Houston family's flood policy pays after a hurricane floods their ground floor.</t>
  </si>
  <si>
    <t xml:space="preserve">Lenders require flood insurance for federally backed mortgages in FEMA Special Flood Hazard Areas.</t>
  </si>
  <si>
    <t xml:space="preserve">Personal Property Insurance &gt; Natural Catastrophe Coverage &gt; Flood Insurance</t>
  </si>
  <si>
    <t xml:space="preserve">property.catastrophe.flood.nfip</t>
  </si>
  <si>
    <t xml:space="preserve">National Flood Insurance Program (NFIP)</t>
  </si>
  <si>
    <t xml:space="preserve">Federal flood insurance</t>
  </si>
  <si>
    <t xml:space="preserve">The federal flood program run by FEMA, sold through private insurers ("Write Your Own") and agents. Covers up to $250,000 for a home's building and $100,000 for contents.</t>
  </si>
  <si>
    <t xml:space="preserve">A homeowner in a flood zone buys NFIP cover required by the lender.</t>
  </si>
  <si>
    <t xml:space="preserve">Premiums set by FEMA's Risk Rating 2.0 method; usually a 30-day waiting period. Program requires periodic reauthorization by Congress.</t>
  </si>
  <si>
    <t xml:space="preserve">Personal Property Insurance &gt; Natural Catastrophe Coverage &gt; Flood Insurance &gt; National Flood Insurance Program (NFIP)</t>
  </si>
  <si>
    <t xml:space="preserve">property.catastrophe.flood.private_flood</t>
  </si>
  <si>
    <t xml:space="preserve">Private Flood Insurance</t>
  </si>
  <si>
    <t xml:space="preserve">Flood cover from private insurers, often with higher limits, shorter waits or extra living expenses.</t>
  </si>
  <si>
    <t xml:space="preserve">A high-value home buys private flood for cover above NFIP limits.</t>
  </si>
  <si>
    <t xml:space="preserve">Lenders must accept qualifying private flood policies under federal rules.</t>
  </si>
  <si>
    <t xml:space="preserve">Personal Property Insurance &gt; Natural Catastrophe Coverage &gt; Flood Insurance &gt; Private Flood Insurance</t>
  </si>
  <si>
    <t xml:space="preserve">property.catastrophe.earthquake</t>
  </si>
  <si>
    <t xml:space="preserve">Earthquake Insurance</t>
  </si>
  <si>
    <t xml:space="preserve">Covers damage from earthquakes, typically with a deductible of 10-25% of the dwelling limit.</t>
  </si>
  <si>
    <t xml:space="preserve">A Seattle homeowner adds earthquake cover with a 15% deductible.</t>
  </si>
  <si>
    <t xml:space="preserve">Available as an endorsement or separate policy in most states.</t>
  </si>
  <si>
    <t xml:space="preserve">Personal Property Insurance &gt; Natural Catastrophe Coverage &gt; Earthquake Insurance</t>
  </si>
  <si>
    <t xml:space="preserve">property.catastrophe.earthquake.cea</t>
  </si>
  <si>
    <t xml:space="preserve">California Earthquake Authority (CEA)</t>
  </si>
  <si>
    <t xml:space="preserve">A publicly managed, privately funded body that writes most residential earthquake insurance in California.</t>
  </si>
  <si>
    <t xml:space="preserve">A homeowner in Los Angeles buys CEA cover through their home insurer.</t>
  </si>
  <si>
    <t xml:space="preserve">California insurers must offer earthquake cover to homeowners every two years.</t>
  </si>
  <si>
    <t xml:space="preserve">Personal Property Insurance &gt; Natural Catastrophe Coverage &gt; Earthquake Insurance &gt; California Earthquake Authority (CEA)</t>
  </si>
  <si>
    <t xml:space="preserve">property.catastrophe.windstorm</t>
  </si>
  <si>
    <t xml:space="preserve">Windstorm / Hurricane Coverage</t>
  </si>
  <si>
    <t xml:space="preserve">Wind pool</t>
  </si>
  <si>
    <t xml:space="preserve">Covers wind and hurricane damage. In some coastal areas wind is excluded from home policies and must be bought separately.</t>
  </si>
  <si>
    <t xml:space="preserve">A Texas coastal homeowner buys wind cover from the state wind pool.</t>
  </si>
  <si>
    <t xml:space="preserve">State residual markets include Citizens Property Insurance (FL), TWIA (TX) and other coastal plans. Hurricane deductibles are often a percentage of the dwelling limit.</t>
  </si>
  <si>
    <t xml:space="preserve">Personal Property Insurance &gt; Natural Catastrophe Coverage &gt; Windstorm / Hurricane Coverage</t>
  </si>
  <si>
    <t xml:space="preserve">property.catastrophe.fair_plan</t>
  </si>
  <si>
    <t xml:space="preserve">FAIR Plans</t>
  </si>
  <si>
    <t xml:space="preserve">Fair Access to Insurance Requirements Plan</t>
  </si>
  <si>
    <t xml:space="preserve">State-created insurers of last resort for property owners who can't get cover in the regular market, often due to wildfire or urban risk.</t>
  </si>
  <si>
    <t xml:space="preserve">A California homeowner dropped by their insurer gets fire cover from the California FAIR Plan.</t>
  </si>
  <si>
    <t xml:space="preserve">About 30+ states plus DC have FAIR plans; usually named-peril cover that may need a separate "difference in conditions" policy.</t>
  </si>
  <si>
    <t xml:space="preserve">Personal Property Insurance &gt; Natural Catastrophe Coverage &gt; FAIR Plans</t>
  </si>
  <si>
    <t xml:space="preserve">property.catastrophe.sinkhole</t>
  </si>
  <si>
    <t xml:space="preserve">Sinkhole Coverage</t>
  </si>
  <si>
    <t xml:space="preserve">Catastrophic ground cover collapse</t>
  </si>
  <si>
    <t xml:space="preserve">Covers damage from ground collapsing into underground cavities.</t>
  </si>
  <si>
    <t xml:space="preserve">A Florida home cracks from a sinkhole and the add-on pays for repairs.</t>
  </si>
  <si>
    <t xml:space="preserve">Florida policies must include catastrophic ground cover collapse; full sinkhole cover is optional.</t>
  </si>
  <si>
    <t xml:space="preserve">Personal Property Insurance &gt; Natural Catastrophe Coverage &gt; Sinkhole Coverage</t>
  </si>
  <si>
    <t xml:space="preserve">property.valuables</t>
  </si>
  <si>
    <t xml:space="preserve">Scheduled Personal Property</t>
  </si>
  <si>
    <t xml:space="preserve">Personal articles floater; Valuables coverage</t>
  </si>
  <si>
    <t xml:space="preserve">Extra cover for high-value items like jewelry, art and collectibles, usually with no deductible and worldwide open-peril cover.</t>
  </si>
  <si>
    <t xml:space="preserve">An engagement ring worth $15,000 is listed on a floater.</t>
  </si>
  <si>
    <t xml:space="preserve">Standard homeowners policies have low sub-limits (e.g. $1,500) for theft of jewelry.</t>
  </si>
  <si>
    <t xml:space="preserve">Personal Property Insurance &gt; Scheduled Personal Property</t>
  </si>
  <si>
    <t xml:space="preserve">property.valuables.jewelry</t>
  </si>
  <si>
    <t xml:space="preserve">Jewelry Coverage</t>
  </si>
  <si>
    <t xml:space="preserve">Covers rings, watches and other jewelry against loss, theft and damage, including mysterious disappearance.</t>
  </si>
  <si>
    <t xml:space="preserve">A lost diamond earring is replaced.</t>
  </si>
  <si>
    <t xml:space="preserve">Personal Property Insurance &gt; Scheduled Personal Property &gt; Jewelry Coverage</t>
  </si>
  <si>
    <t xml:space="preserve">property.valuables.fine_art</t>
  </si>
  <si>
    <t xml:space="preserve">Fine Art &amp; Collectibles</t>
  </si>
  <si>
    <t xml:space="preserve">Covers paintings, sculptures, wine and collections at agreed values.</t>
  </si>
  <si>
    <t xml:space="preserve">A collector insures a painting for its appraised value.</t>
  </si>
  <si>
    <t xml:space="preserve">Personal Property Insurance &gt; Scheduled Personal Property &gt; Fine Art &amp; Collectibles</t>
  </si>
  <si>
    <t xml:space="preserve">property.valuables.musical_instruments</t>
  </si>
  <si>
    <t xml:space="preserve">Musical Instruments</t>
  </si>
  <si>
    <t xml:space="preserve">Covers instruments on and off premises, including while travelling.</t>
  </si>
  <si>
    <t xml:space="preserve">A cellist's instrument is damaged on a flight.</t>
  </si>
  <si>
    <t xml:space="preserve">Personal Property Insurance &gt; Scheduled Personal Property &gt; Musical Instruments</t>
  </si>
  <si>
    <t xml:space="preserve">property.valuables.device</t>
  </si>
  <si>
    <t xml:space="preserve">Device / Cell Phone Protection</t>
  </si>
  <si>
    <t xml:space="preserve">Gadget insurance</t>
  </si>
  <si>
    <t xml:space="preserve">Covers phones, laptops and other devices against damage, theft and breakdown.</t>
  </si>
  <si>
    <t xml:space="preserve">A cracked phone screen is repaired.</t>
  </si>
  <si>
    <t xml:space="preserve">Often sold by carriers and retailers; some plans are service contracts rather than insurance.</t>
  </si>
  <si>
    <t xml:space="preserve">Personal Property Insurance &gt; Scheduled Personal Property &gt; Device / Cell Phone Protection</t>
  </si>
  <si>
    <t xml:space="preserve">property.high_net_worth</t>
  </si>
  <si>
    <t xml:space="preserve">High-Net-Worth Homeowners</t>
  </si>
  <si>
    <t xml:space="preserve">Private client insurance</t>
  </si>
  <si>
    <t xml:space="preserve">Premium home programs for expensive homes and collections, with broader cover, cash settlement options and higher limits.</t>
  </si>
  <si>
    <t xml:space="preserve">A family with a $5 million home buys a private client policy.</t>
  </si>
  <si>
    <t xml:space="preserve">Written by specialist carriers such as Chubb, PURE and AIG Private Client.</t>
  </si>
  <si>
    <t xml:space="preserve">Personal Property Insurance &gt; High-Net-Worth Homeowners</t>
  </si>
  <si>
    <t xml:space="preserve">property.home_warranty</t>
  </si>
  <si>
    <t xml:space="preserve">Home Warranty</t>
  </si>
  <si>
    <t xml:space="preserve">Home service contract</t>
  </si>
  <si>
    <t xml:space="preserve">A service contract that pays to repair or replace home systems and appliances that break from normal wear.</t>
  </si>
  <si>
    <t xml:space="preserve">A home warranty pays to fix a failed furnace in winter.</t>
  </si>
  <si>
    <t xml:space="preserve">Regulated as service contracts rather than insurance in many states.</t>
  </si>
  <si>
    <t xml:space="preserve">Personal Property Insurance &gt; Home Warranty</t>
  </si>
  <si>
    <t xml:space="preserve">casualty</t>
  </si>
  <si>
    <t xml:space="preserve">Casualty &amp; Liability Insurance</t>
  </si>
  <si>
    <t xml:space="preserve">Liability insurance; Third-party coverage</t>
  </si>
  <si>
    <t xml:space="preserve">Pays for injury or damage you cause to other people or their property, including legal defense costs.</t>
  </si>
  <si>
    <t xml:space="preserve">A shop pays nothing out of pocket when a customer slips and sues, because its liability policy covers it.</t>
  </si>
  <si>
    <t xml:space="preserve">Liability rules (negligence, damages caps, joint and several liability) vary by state tort law.</t>
  </si>
  <si>
    <t xml:space="preserve">casualty.personal_liability</t>
  </si>
  <si>
    <t xml:space="preserve">Personal Liability</t>
  </si>
  <si>
    <t xml:space="preserve">Liability cover for individuals and families for accidents in daily life.</t>
  </si>
  <si>
    <t xml:space="preserve">A dog bites a neighbor and the owner's policy pays the medical bills.</t>
  </si>
  <si>
    <t xml:space="preserve">Casualty &amp; Liability Insurance &gt; Personal Liability</t>
  </si>
  <si>
    <t xml:space="preserve">casualty.personal_liability.homeowners_liability</t>
  </si>
  <si>
    <t xml:space="preserve">Homeowners Liability (Coverage E)</t>
  </si>
  <si>
    <t xml:space="preserve">Section II liability</t>
  </si>
  <si>
    <t xml:space="preserve">Liability cover included in home and renters policies for injuries on your property or caused by you anywhere.</t>
  </si>
  <si>
    <t xml:space="preserve">A guest trips on a loose step and the homeowners policy pays the claim.</t>
  </si>
  <si>
    <t xml:space="preserve">Typical limits $100,000-$500,000.</t>
  </si>
  <si>
    <t xml:space="preserve">Casualty &amp; Liability Insurance &gt; Personal Liability &gt; Homeowners Liability (Coverage E)</t>
  </si>
  <si>
    <t xml:space="preserve">casualty.personal_liability.medical_payments_others</t>
  </si>
  <si>
    <t xml:space="preserve">Medical Payments to Others (Coverage F)</t>
  </si>
  <si>
    <t xml:space="preserve">MedPay</t>
  </si>
  <si>
    <t xml:space="preserve">Pays small medical bills of guests injured on your property regardless of fault, to avoid lawsuits.</t>
  </si>
  <si>
    <t xml:space="preserve">A visiting child's stitches after a fall are paid.</t>
  </si>
  <si>
    <t xml:space="preserve">Typical limits $1,000-$5,000.</t>
  </si>
  <si>
    <t xml:space="preserve">Casualty &amp; Liability Insurance &gt; Personal Liability &gt; Medical Payments to Others (Coverage F)</t>
  </si>
  <si>
    <t xml:space="preserve">casualty.personal_liability.personal_umbrella</t>
  </si>
  <si>
    <t xml:space="preserve">Personal Umbrella</t>
  </si>
  <si>
    <t xml:space="preserve">Excess personal liability</t>
  </si>
  <si>
    <t xml:space="preserve">Extra liability cover (often $1 million or more) above your home and auto limits.</t>
  </si>
  <si>
    <t xml:space="preserve">A driver causes a serious crash and the umbrella pays the amount above the auto limit.</t>
  </si>
  <si>
    <t xml:space="preserve">Insurers usually require minimum underlying auto and home limits.</t>
  </si>
  <si>
    <t xml:space="preserve">Casualty &amp; Liability Insurance &gt; Personal Liability &gt; Personal Umbrella</t>
  </si>
  <si>
    <t xml:space="preserve">casualty.personal_liability.watercraft_liability</t>
  </si>
  <si>
    <t xml:space="preserve">Watercraft Liability</t>
  </si>
  <si>
    <t xml:space="preserve">Liability cover for injuries or damage caused while operating a boat or jet ski.</t>
  </si>
  <si>
    <t xml:space="preserve">A jet-ski rider injures a swimmer and the policy pays.</t>
  </si>
  <si>
    <t xml:space="preserve">Home policies cover only small boats; larger craft need a boat policy.</t>
  </si>
  <si>
    <t xml:space="preserve">Casualty &amp; Liability Insurance &gt; Personal Liability &gt; Watercraft Liability</t>
  </si>
  <si>
    <t xml:space="preserve">casualty.personal_liability.excess_personal_dog</t>
  </si>
  <si>
    <t xml:space="preserve">Canine Liability</t>
  </si>
  <si>
    <t xml:space="preserve">Dog bite liability</t>
  </si>
  <si>
    <t xml:space="preserve">Standalone liability for dog owners whose breed or history is excluded by their home insurer.</t>
  </si>
  <si>
    <t xml:space="preserve">An owner of an excluded breed buys a separate canine liability policy.</t>
  </si>
  <si>
    <t xml:space="preserve">Some insurers exclude certain breeds; several states restrict breed-based underwriting.</t>
  </si>
  <si>
    <t xml:space="preserve">Casualty &amp; Liability Insurance &gt; Personal Liability &gt; Canine Liability</t>
  </si>
  <si>
    <t xml:space="preserve">casualty.general_liability</t>
  </si>
  <si>
    <t xml:space="preserve">Commercial General Liability (CGL)</t>
  </si>
  <si>
    <t xml:space="preserve">General liability; GL</t>
  </si>
  <si>
    <t xml:space="preserve">Covers a business against third-party claims for bodily injury, property damage, and personal and advertising injury.</t>
  </si>
  <si>
    <t xml:space="preserve">A cafe pays a customer's claim after they burn themselves on a faulty cup.</t>
  </si>
  <si>
    <t xml:space="preserve">Standard ISO CG 00 01 (occurrence) and CG 00 02 (claims-made) forms. Commonly required in leases and contracts.</t>
  </si>
  <si>
    <t xml:space="preserve">Casualty &amp; Liability Insurance &gt; Commercial General Liability (CGL)</t>
  </si>
  <si>
    <t xml:space="preserve">casualty.general_liability.coverage_a</t>
  </si>
  <si>
    <t xml:space="preserve">Coverage A: Bodily Injury &amp; Property Damage</t>
  </si>
  <si>
    <t xml:space="preserve">Pays for injuries and damage your business causes to others.</t>
  </si>
  <si>
    <t xml:space="preserve">A contractor's worker drops a beam on a client's car.</t>
  </si>
  <si>
    <t xml:space="preserve">Casualty &amp; Liability Insurance &gt; Commercial General Liability (CGL) &gt; Coverage A: Bodily Injury &amp; Property Damage</t>
  </si>
  <si>
    <t xml:space="preserve">casualty.general_liability.coverage_a.premises_operations</t>
  </si>
  <si>
    <t xml:space="preserve">Premises &amp; Operations</t>
  </si>
  <si>
    <t xml:space="preserve">Covers injuries or damage on your premises or from your ongoing work.</t>
  </si>
  <si>
    <t xml:space="preserve">A shopper slips on a wet floor in a supermarket.</t>
  </si>
  <si>
    <t xml:space="preserve">Casualty &amp; Liability Insurance &gt; Commercial General Liability (CGL) &gt; Coverage A: Bodily Injury &amp; Property Damage &gt; Premises &amp; Operations</t>
  </si>
  <si>
    <t xml:space="preserve">casualty.general_liability.coverage_a.products_completed</t>
  </si>
  <si>
    <t xml:space="preserve">Products &amp; Completed Operations</t>
  </si>
  <si>
    <t xml:space="preserve">Products liability</t>
  </si>
  <si>
    <t xml:space="preserve">Covers injuries or damage caused by products you made or sold, or work you finished.</t>
  </si>
  <si>
    <t xml:space="preserve">A toaster manufacturer is sued after a product catches fire.</t>
  </si>
  <si>
    <t xml:space="preserve">Subject to its own aggregate limit.</t>
  </si>
  <si>
    <t xml:space="preserve">Casualty &amp; Liability Insurance &gt; Commercial General Liability (CGL) &gt; Coverage A: Bodily Injury &amp; Property Damage &gt; Products &amp; Completed Operations</t>
  </si>
  <si>
    <t xml:space="preserve">casualty.general_liability.coverage_b</t>
  </si>
  <si>
    <t xml:space="preserve">Coverage B: Personal &amp; Advertising Injury</t>
  </si>
  <si>
    <t xml:space="preserve">Covers claims like libel, slander, false arrest and copyright infringement in advertising.</t>
  </si>
  <si>
    <t xml:space="preserve">A competitor sues over a misleading ad.</t>
  </si>
  <si>
    <t xml:space="preserve">Casualty &amp; Liability Insurance &gt; Commercial General Liability (CGL) &gt; Coverage B: Personal &amp; Advertising Injury</t>
  </si>
  <si>
    <t xml:space="preserve">casualty.general_liability.coverage_c</t>
  </si>
  <si>
    <t xml:space="preserve">Coverage C: Medical Payments</t>
  </si>
  <si>
    <t xml:space="preserve">Pays small medical bills for people hurt on your premises regardless of fault.</t>
  </si>
  <si>
    <t xml:space="preserve">A customer's ER visit after tripping is paid.</t>
  </si>
  <si>
    <t xml:space="preserve">Casualty &amp; Liability Insurance &gt; Commercial General Liability (CGL) &gt; Coverage C: Medical Payments</t>
  </si>
  <si>
    <t xml:space="preserve">casualty.general_liability.occurrence_form</t>
  </si>
  <si>
    <t xml:space="preserve">Occurrence Form</t>
  </si>
  <si>
    <t xml:space="preserve">Covers incidents that happen during the policy period, even if the claim is made years later.</t>
  </si>
  <si>
    <t xml:space="preserve">A claim for a 2022 injury filed in 2025 is paid by the 2022 policy.</t>
  </si>
  <si>
    <t xml:space="preserve">The standard for most CGL policies.</t>
  </si>
  <si>
    <t xml:space="preserve">Casualty &amp; Liability Insurance &gt; Commercial General Liability (CGL) &gt; Occurrence Form</t>
  </si>
  <si>
    <t xml:space="preserve">casualty.general_liability.claims_made_form</t>
  </si>
  <si>
    <t xml:space="preserve">Claims-Made Form</t>
  </si>
  <si>
    <t xml:space="preserve">Covers claims first made during the policy period, subject to a retroactive date; tail cover extends the reporting window.</t>
  </si>
  <si>
    <t xml:space="preserve">A claim made in 2025 is handled by the 2025 policy.</t>
  </si>
  <si>
    <t xml:space="preserve">Casualty &amp; Liability Insurance &gt; Commercial General Liability (CGL) &gt; Claims-Made Form</t>
  </si>
  <si>
    <t xml:space="preserve">casualty.specialty_liability</t>
  </si>
  <si>
    <t xml:space="preserve">Specialty Casualty Lines</t>
  </si>
  <si>
    <t xml:space="preserve">Liability covers for specific exposures that CGL excludes or limits.</t>
  </si>
  <si>
    <t xml:space="preserve">A bar buys liquor liability because GL excludes it.</t>
  </si>
  <si>
    <t xml:space="preserve">Casualty &amp; Liability Insurance &gt; Specialty Casualty Lines</t>
  </si>
  <si>
    <t xml:space="preserve">casualty.specialty_liability.product_liability_standalone</t>
  </si>
  <si>
    <t xml:space="preserve">Standalone Products Liability</t>
  </si>
  <si>
    <t xml:space="preserve">Products liability written separately for manufacturers and distributors with large product exposures.</t>
  </si>
  <si>
    <t xml:space="preserve">A medical device maker buys dedicated products cover.</t>
  </si>
  <si>
    <t xml:space="preserve">Casualty &amp; Liability Insurance &gt; Specialty Casualty Lines &gt; Standalone Products Liability</t>
  </si>
  <si>
    <t xml:space="preserve">casualty.specialty_liability.product_recall</t>
  </si>
  <si>
    <t xml:space="preserve">Product Recall</t>
  </si>
  <si>
    <t xml:space="preserve">Product contamination</t>
  </si>
  <si>
    <t xml:space="preserve">Pays the costs of recalling faulty or contaminated products, and sometimes lost profits.</t>
  </si>
  <si>
    <t xml:space="preserve">A food maker recalls a batch contaminated with listeria.</t>
  </si>
  <si>
    <t xml:space="preserve">Recalls may be ordered by FDA, USDA, CPSC or NHTSA.</t>
  </si>
  <si>
    <t xml:space="preserve">Casualty &amp; Liability Insurance &gt; Specialty Casualty Lines &gt; Product Recall</t>
  </si>
  <si>
    <t xml:space="preserve">casualty.specialty_liability.liquor</t>
  </si>
  <si>
    <t xml:space="preserve">Liquor Liability</t>
  </si>
  <si>
    <t xml:space="preserve">Dram shop liability</t>
  </si>
  <si>
    <t xml:space="preserve">Covers bars, restaurants and liquor stores against claims that alcohol they served led to injury.</t>
  </si>
  <si>
    <t xml:space="preserve">A bar is sued after an intoxicated customer causes a crash.</t>
  </si>
  <si>
    <t xml:space="preserve">Required by dram shop laws in many states; CGL excludes it for businesses selling alcohol.</t>
  </si>
  <si>
    <t xml:space="preserve">Casualty &amp; Liability Insurance &gt; Specialty Casualty Lines &gt; Liquor Liability</t>
  </si>
  <si>
    <t xml:space="preserve">casualty.specialty_liability.environmental</t>
  </si>
  <si>
    <t xml:space="preserve">Environmental / Pollution Liability</t>
  </si>
  <si>
    <t xml:space="preserve">Pollution legal liability (PLL)</t>
  </si>
  <si>
    <t xml:space="preserve">Covers clean-up costs and third-party claims from pollution, which CGL mostly excludes.</t>
  </si>
  <si>
    <t xml:space="preserve">A factory's chemical leak into a river is cleaned up under the policy.</t>
  </si>
  <si>
    <t xml:space="preserve">Exposure driven by federal CERCLA (Superfund) and state environmental laws.</t>
  </si>
  <si>
    <t xml:space="preserve">Casualty &amp; Liability Insurance &gt; Specialty Casualty Lines &gt; Environmental / Pollution Liability</t>
  </si>
  <si>
    <t xml:space="preserve">casualty.specialty_liability.environmental.contractors_pollution</t>
  </si>
  <si>
    <t xml:space="preserve">Contractors Pollution Liability (CPL)</t>
  </si>
  <si>
    <t xml:space="preserve">Covers pollution caused by a contractor's work at job sites.</t>
  </si>
  <si>
    <t xml:space="preserve">A contractor disturbs asbestos and must pay for cleanup.</t>
  </si>
  <si>
    <t xml:space="preserve">Casualty &amp; Liability Insurance &gt; Specialty Casualty Lines &gt; Environmental / Pollution Liability &gt; Contractors Pollution Liability (CPL)</t>
  </si>
  <si>
    <t xml:space="preserve">casualty.specialty_liability.environmental.storage_tank</t>
  </si>
  <si>
    <t xml:space="preserve">Storage Tank Liability</t>
  </si>
  <si>
    <t xml:space="preserve">Covers leaks from underground or aboveground fuel tanks.</t>
  </si>
  <si>
    <t xml:space="preserve">A gas station's leaking underground tank contaminates soil.</t>
  </si>
  <si>
    <t xml:space="preserve">EPA requires financial responsibility for underground storage tank owners.</t>
  </si>
  <si>
    <t xml:space="preserve">Casualty &amp; Liability Insurance &gt; Specialty Casualty Lines &gt; Environmental / Pollution Liability &gt; Storage Tank Liability</t>
  </si>
  <si>
    <t xml:space="preserve">casualty.specialty_liability.owners_contractors_protective</t>
  </si>
  <si>
    <t xml:space="preserve">Owners &amp; Contractors Protective (OCP)</t>
  </si>
  <si>
    <t xml:space="preserve">Covers a project owner for liability arising from a contractor's work, bought by the contractor.</t>
  </si>
  <si>
    <t xml:space="preserve">A city requires a road contractor to buy OCP naming the city.</t>
  </si>
  <si>
    <t xml:space="preserve">Casualty &amp; Liability Insurance &gt; Specialty Casualty Lines &gt; Owners &amp; Contractors Protective (OCP)</t>
  </si>
  <si>
    <t xml:space="preserve">casualty.specialty_liability.railroad_protective</t>
  </si>
  <si>
    <t xml:space="preserve">Railroad Protective Liability</t>
  </si>
  <si>
    <t xml:space="preserve">Covers a railroad for liability from contractors working on or near its tracks.</t>
  </si>
  <si>
    <t xml:space="preserve">A contractor building a bridge over rail lines buys this for the railroad.</t>
  </si>
  <si>
    <t xml:space="preserve">Casualty &amp; Liability Insurance &gt; Specialty Casualty Lines &gt; Railroad Protective Liability</t>
  </si>
  <si>
    <t xml:space="preserve">casualty.specialty_liability.special_events_liability</t>
  </si>
  <si>
    <t xml:space="preserve">Special Event Liability</t>
  </si>
  <si>
    <t xml:space="preserve">Short-term liability for one-off events.</t>
  </si>
  <si>
    <t xml:space="preserve">A nonprofit gala buys one-day liability cover required by the venue.</t>
  </si>
  <si>
    <t xml:space="preserve">Casualty &amp; Liability Insurance &gt; Specialty Casualty Lines &gt; Special Event Liability</t>
  </si>
  <si>
    <t xml:space="preserve">casualty.workers_comp</t>
  </si>
  <si>
    <t xml:space="preserve">Workers' Compensation &amp; Employers' Liability</t>
  </si>
  <si>
    <t xml:space="preserve">Workers' comp; WC/EL</t>
  </si>
  <si>
    <t xml:space="preserve">Covers employees who are injured or become ill because of their work, paying medical bills and lost wages regardless of fault; in exchange, employees generally can't sue the employer.</t>
  </si>
  <si>
    <t xml:space="preserve">A roofer who falls from a ladder receives medical care and weekly wage benefits.</t>
  </si>
  <si>
    <t xml:space="preserve">Required by state law in every state except Texas (where it is optional). Benefits and rules set by each state. Standard NCCI policy form.</t>
  </si>
  <si>
    <t xml:space="preserve">Casualty &amp; Liability Insurance &gt; Workers' Compensation &amp; Employers' Liability</t>
  </si>
  <si>
    <t xml:space="preserve">casualty.workers_comp.part_one</t>
  </si>
  <si>
    <t xml:space="preserve">Part One: Workers' Compensation</t>
  </si>
  <si>
    <t xml:space="preserve">Pays the benefits required by state workers' comp law: medical care, wage replacement, rehabilitation and death benefits.</t>
  </si>
  <si>
    <t xml:space="preserve">An injured warehouse worker gets two-thirds of wages while off work.</t>
  </si>
  <si>
    <t xml:space="preserve">Casualty &amp; Liability Insurance &gt; Workers' Compensation &amp; Employers' Liability &gt; Part One: Workers' Compensation</t>
  </si>
  <si>
    <t xml:space="preserve">casualty.workers_comp.part_two</t>
  </si>
  <si>
    <t xml:space="preserve">Part Two: Employers' Liability</t>
  </si>
  <si>
    <t xml:space="preserve">Covers lawsuits by employees or others (e.g. spouses) related to work injuries that fall outside the workers' comp system.</t>
  </si>
  <si>
    <t xml:space="preserve">An injured worker's spouse sues for loss of consortium.</t>
  </si>
  <si>
    <t xml:space="preserve">Typical limits $100,000 / $500,000 / $100,000.</t>
  </si>
  <si>
    <t xml:space="preserve">Casualty &amp; Liability Insurance &gt; Workers' Compensation &amp; Employers' Liability &gt; Part Two: Employers' Liability</t>
  </si>
  <si>
    <t xml:space="preserve">casualty.workers_comp.part_three</t>
  </si>
  <si>
    <t xml:space="preserve">Part Three: Other States Coverage</t>
  </si>
  <si>
    <t xml:space="preserve">Extends cover when employees work in states not listed on the policy.</t>
  </si>
  <si>
    <t xml:space="preserve">An employee is injured on a project in another state.</t>
  </si>
  <si>
    <t xml:space="preserve">Casualty &amp; Liability Insurance &gt; Workers' Compensation &amp; Employers' Liability &gt; Part Three: Other States Coverage</t>
  </si>
  <si>
    <t xml:space="preserve">casualty.workers_comp.state_fund</t>
  </si>
  <si>
    <t xml:space="preserve">Monopolistic State Funds</t>
  </si>
  <si>
    <t xml:space="preserve">In four states, employers must buy workers' comp from the state fund rather than private insurers.</t>
  </si>
  <si>
    <t xml:space="preserve">An Ohio employer buys cover from the Ohio Bureau of Workers' Compensation.</t>
  </si>
  <si>
    <t xml:space="preserve">Ohio, Washington, North Dakota and Wyoming. Employers there buy "stop gap" employers' liability separately.</t>
  </si>
  <si>
    <t xml:space="preserve">Casualty &amp; Liability Insurance &gt; Workers' Compensation &amp; Employers' Liability &gt; Monopolistic State Funds</t>
  </si>
  <si>
    <t xml:space="preserve">casualty.workers_comp.competitive_state_fund</t>
  </si>
  <si>
    <t xml:space="preserve">Competitive State Funds</t>
  </si>
  <si>
    <t xml:space="preserve">State-run workers' comp insurers that compete with private insurers and often act as the insurer of last resort.</t>
  </si>
  <si>
    <t xml:space="preserve">A small contractor denied by private carriers gets cover from the state fund.</t>
  </si>
  <si>
    <t xml:space="preserve">Examples: SCIF (California), NYSIF (New York), Texas Mutual.</t>
  </si>
  <si>
    <t xml:space="preserve">Casualty &amp; Liability Insurance &gt; Workers' Compensation &amp; Employers' Liability &gt; Competitive State Funds</t>
  </si>
  <si>
    <t xml:space="preserve">casualty.workers_comp.assigned_risk</t>
  </si>
  <si>
    <t xml:space="preserve">Assigned Risk / Residual Market</t>
  </si>
  <si>
    <t xml:space="preserve">A pool that provides workers' comp to employers that can't get it in the voluntary market.</t>
  </si>
  <si>
    <t xml:space="preserve">A new roofing firm with no history is placed in the assigned risk plan.</t>
  </si>
  <si>
    <t xml:space="preserve">Administered by NCCI in many states.</t>
  </si>
  <si>
    <t xml:space="preserve">Casualty &amp; Liability Insurance &gt; Workers' Compensation &amp; Employers' Liability &gt; Assigned Risk / Residual Market</t>
  </si>
  <si>
    <t xml:space="preserve">casualty.workers_comp.federal_comp</t>
  </si>
  <si>
    <t xml:space="preserve">Federal Workers' Compensation Programs</t>
  </si>
  <si>
    <t xml:space="preserve">Federal laws that replace state workers' comp for certain workers.</t>
  </si>
  <si>
    <t xml:space="preserve">A dock worker is covered under the Longshore Act.</t>
  </si>
  <si>
    <t xml:space="preserve">Casualty &amp; Liability Insurance &gt; Workers' Compensation &amp; Employers' Liability &gt; Federal Workers' Compensation Programs</t>
  </si>
  <si>
    <t xml:space="preserve">casualty.workers_comp.federal_comp.uslh</t>
  </si>
  <si>
    <t xml:space="preserve">USL&amp;H (Longshore) Coverage</t>
  </si>
  <si>
    <t xml:space="preserve">Longshore and Harbor Workers' Compensation Act</t>
  </si>
  <si>
    <t xml:space="preserve">Covers maritime workers like dock workers and ship repairers not covered by state comp.</t>
  </si>
  <si>
    <t xml:space="preserve">A shipyard worker injured on a pier is covered.</t>
  </si>
  <si>
    <t xml:space="preserve">Federal (Department of Labor).</t>
  </si>
  <si>
    <t xml:space="preserve">Casualty &amp; Liability Insurance &gt; Workers' Compensation &amp; Employers' Liability &gt; Federal Workers' Compensation Programs &gt; USL&amp;H (Longshore) Coverage</t>
  </si>
  <si>
    <t xml:space="preserve">casualty.workers_comp.federal_comp.jones_act</t>
  </si>
  <si>
    <t xml:space="preserve">Jones Act / Maritime Employers Liability</t>
  </si>
  <si>
    <t xml:space="preserve">MEL</t>
  </si>
  <si>
    <t xml:space="preserve">Covers seamen (crew members), who sue their employer under the Jones Act rather than using workers' comp.</t>
  </si>
  <si>
    <t xml:space="preserve">A deckhand injured on a tugboat claims under the Jones Act.</t>
  </si>
  <si>
    <t xml:space="preserve">Casualty &amp; Liability Insurance &gt; Workers' Compensation &amp; Employers' Liability &gt; Federal Workers' Compensation Programs &gt; Jones Act / Maritime Employers Liability</t>
  </si>
  <si>
    <t xml:space="preserve">casualty.workers_comp.federal_comp.feca</t>
  </si>
  <si>
    <t xml:space="preserve">FECA (Federal Employees)</t>
  </si>
  <si>
    <t xml:space="preserve">Covers federal government employees' work injuries.</t>
  </si>
  <si>
    <t xml:space="preserve">A postal worker hurt on the job receives FECA benefits.</t>
  </si>
  <si>
    <t xml:space="preserve">Administered by the Department of Labor; not bought from insurers.</t>
  </si>
  <si>
    <t xml:space="preserve">Casualty &amp; Liability Insurance &gt; Workers' Compensation &amp; Employers' Liability &gt; Federal Workers' Compensation Programs &gt; FECA (Federal Employees)</t>
  </si>
  <si>
    <t xml:space="preserve">casualty.workers_comp.federal_comp.defense_base_act</t>
  </si>
  <si>
    <t xml:space="preserve">Defense Base Act (DBA)</t>
  </si>
  <si>
    <t xml:space="preserve">Covers civilian contractors working overseas on US government contracts.</t>
  </si>
  <si>
    <t xml:space="preserve">A contractor employee injured at an overseas base is covered.</t>
  </si>
  <si>
    <t xml:space="preserve">Extension of the Longshore Act.</t>
  </si>
  <si>
    <t xml:space="preserve">Casualty &amp; Liability Insurance &gt; Workers' Compensation &amp; Employers' Liability &gt; Federal Workers' Compensation Programs &gt; Defense Base Act (DBA)</t>
  </si>
  <si>
    <t xml:space="preserve">casualty.workers_comp.occupational_accident</t>
  </si>
  <si>
    <t xml:space="preserve">Occupational Accident Insurance</t>
  </si>
  <si>
    <t xml:space="preserve">Occ acc</t>
  </si>
  <si>
    <t xml:space="preserve">Accident cover for independent contractors, such as owner-operator truckers, who aren't eligible for workers' comp.</t>
  </si>
  <si>
    <t xml:space="preserve">An owner-operator trucker injured while loading gets medical and disability benefits.</t>
  </si>
  <si>
    <t xml:space="preserve">Casualty &amp; Liability Insurance &gt; Workers' Compensation &amp; Employers' Liability &gt; Occupational Accident Insurance</t>
  </si>
  <si>
    <t xml:space="preserve">casualty.workers_comp.peo</t>
  </si>
  <si>
    <t xml:space="preserve">PEO Workers' Comp</t>
  </si>
  <si>
    <t xml:space="preserve">Master policy</t>
  </si>
  <si>
    <t xml:space="preserve">Workers' comp provided through a Professional Employer Organization that co-employs a small business's staff.</t>
  </si>
  <si>
    <t xml:space="preserve">A small company gets workers' comp through its PEO.</t>
  </si>
  <si>
    <t xml:space="preserve">Casualty &amp; Liability Insurance &gt; Workers' Compensation &amp; Employers' Liability &gt; PEO Workers' Comp</t>
  </si>
  <si>
    <t xml:space="preserve">casualty.umbrella_excess</t>
  </si>
  <si>
    <t xml:space="preserve">Commercial Umbrella &amp; Excess Liability</t>
  </si>
  <si>
    <t xml:space="preserve">Extra liability limits above primary general liability, auto and employers' liability policies.</t>
  </si>
  <si>
    <t xml:space="preserve">A trucking company buys $10 million of excess cover above its primary auto policy.</t>
  </si>
  <si>
    <t xml:space="preserve">Casualty &amp; Liability Insurance &gt; Commercial Umbrella &amp; Excess Liability</t>
  </si>
  <si>
    <t xml:space="preserve">casualty.umbrella_excess.commercial_umbrella</t>
  </si>
  <si>
    <t xml:space="preserve">Commercial Umbrella</t>
  </si>
  <si>
    <t xml:space="preserve">Adds limits above several primary policies and may cover some gaps they leave, after a self-insured retention.</t>
  </si>
  <si>
    <t xml:space="preserve">A manufacturer buys a $5 million umbrella over GL, auto and EL.</t>
  </si>
  <si>
    <t xml:space="preserve">Casualty &amp; Liability Insurance &gt; Commercial Umbrella &amp; Excess Liability &gt; Commercial Umbrella</t>
  </si>
  <si>
    <t xml:space="preserve">casualty.umbrella_excess.follow_form</t>
  </si>
  <si>
    <t xml:space="preserve">Follow-Form Excess</t>
  </si>
  <si>
    <t xml:space="preserve">Adds limits using exactly the same terms as the underlying policy.</t>
  </si>
  <si>
    <t xml:space="preserve">A second $10 million layer follows the umbrella's terms.</t>
  </si>
  <si>
    <t xml:space="preserve">Large programs stack several excess layers into a "tower".</t>
  </si>
  <si>
    <t xml:space="preserve">Casualty &amp; Liability Insurance &gt; Commercial Umbrella &amp; Excess Liability &gt; Follow-Form Excess</t>
  </si>
  <si>
    <t xml:space="preserve">casualty.legal_expense</t>
  </si>
  <si>
    <t xml:space="preserve">Legal Expense Insurance</t>
  </si>
  <si>
    <t xml:space="preserve">Prepaid legal plans</t>
  </si>
  <si>
    <t xml:space="preserve">Pays for access to lawyers for personal legal matters such as wills, traffic tickets and disputes.</t>
  </si>
  <si>
    <t xml:space="preserve">An employee uses a prepaid legal plan to draft a will.</t>
  </si>
  <si>
    <t xml:space="preserve">Often offered as a voluntary employee benefit; regulated differently by state.</t>
  </si>
  <si>
    <t xml:space="preserve">Casualty &amp; Liability Insurance &gt; Legal Expense Insurance</t>
  </si>
  <si>
    <t xml:space="preserve">auto</t>
  </si>
  <si>
    <t xml:space="preserve">Auto Insurance</t>
  </si>
  <si>
    <t xml:space="preserve">Car insurance; Motor vehicle insurance</t>
  </si>
  <si>
    <t xml:space="preserve">Covers vehicles and drivers for damage to the vehicle, injuries, and harm caused to others. Some liability cover is legally required in nearly every state.</t>
  </si>
  <si>
    <t xml:space="preserve">A driver's policy pays for another car's repairs after a rear-end collision.</t>
  </si>
  <si>
    <t xml:space="preserve">Minimum liability limits, no-fault rules and required coverages are set by each state. New Hampshire does not require auto insurance for most drivers but requires proof of financial responsibility after a crash.</t>
  </si>
  <si>
    <t xml:space="preserve">auto.personal_auto</t>
  </si>
  <si>
    <t xml:space="preserve">Personal Auto Policy (PAP)</t>
  </si>
  <si>
    <t xml:space="preserve">Private passenger auto</t>
  </si>
  <si>
    <t xml:space="preserve">Cover for cars, SUVs, pickups and minivans owned and used by individuals.</t>
  </si>
  <si>
    <t xml:space="preserve">A commuter insures the family SUV.</t>
  </si>
  <si>
    <t xml:space="preserve">Based on the ISO Personal Auto Policy form in many states.</t>
  </si>
  <si>
    <t xml:space="preserve">Auto Insurance &gt; Personal Auto Policy (PAP)</t>
  </si>
  <si>
    <t xml:space="preserve">auto.personal_auto.liability</t>
  </si>
  <si>
    <t xml:space="preserve">Liability Coverage</t>
  </si>
  <si>
    <t xml:space="preserve">Liability-only; Part A</t>
  </si>
  <si>
    <t xml:space="preserve">Pays for injury and damage you cause to others; the legal minimum in almost every state. It doesn't pay for your own car.</t>
  </si>
  <si>
    <t xml:space="preserve">An owner of an old car buys only liability cover.</t>
  </si>
  <si>
    <t xml:space="preserve">Limits are written as split limits such as 25/50/25 ($25k per person, $50k per accident bodily injury, $25k property damage). State minimums vary widely.</t>
  </si>
  <si>
    <t xml:space="preserve">Auto Insurance &gt; Personal Auto Policy (PAP) &gt; Liability Coverage</t>
  </si>
  <si>
    <t xml:space="preserve">auto.personal_auto.liability.bi_liability</t>
  </si>
  <si>
    <t xml:space="preserve">Bodily Injury Liability</t>
  </si>
  <si>
    <t xml:space="preserve">BI</t>
  </si>
  <si>
    <t xml:space="preserve">Pays for injuries you cause to other people, including medical costs, lost wages and legal claims.</t>
  </si>
  <si>
    <t xml:space="preserve">A driver who injures a pedestrian has the victim's bills paid by the policy.</t>
  </si>
  <si>
    <t xml:space="preserve">Auto Insurance &gt; Personal Auto Policy (PAP) &gt; Liability Coverage &gt; Bodily Injury Liability</t>
  </si>
  <si>
    <t xml:space="preserve">auto.personal_auto.liability.pd_liability</t>
  </si>
  <si>
    <t xml:space="preserve">Property Damage Liability</t>
  </si>
  <si>
    <t xml:space="preserve">PD</t>
  </si>
  <si>
    <t xml:space="preserve">Pays for damage you cause to other people's property, such as cars, fences or buildings.</t>
  </si>
  <si>
    <t xml:space="preserve">A driver hits a mailbox and a parked car, and both are paid for.</t>
  </si>
  <si>
    <t xml:space="preserve">Auto Insurance &gt; Personal Auto Policy (PAP) &gt; Liability Coverage &gt; Property Damage Liability</t>
  </si>
  <si>
    <t xml:space="preserve">auto.personal_auto.liability.csl</t>
  </si>
  <si>
    <t xml:space="preserve">Combined Single Limit (CSL)</t>
  </si>
  <si>
    <t xml:space="preserve">One total limit per accident that covers both bodily injury and property damage.</t>
  </si>
  <si>
    <t xml:space="preserve">A policy has a $300,000 combined limit instead of split limits.</t>
  </si>
  <si>
    <t xml:space="preserve">Auto Insurance &gt; Personal Auto Policy (PAP) &gt; Liability Coverage &gt; Combined Single Limit (CSL)</t>
  </si>
  <si>
    <t xml:space="preserve">auto.personal_auto.liability.sr22</t>
  </si>
  <si>
    <t xml:space="preserve">SR-22 / FR-44 Filings</t>
  </si>
  <si>
    <t xml:space="preserve">Certificate of financial responsibility</t>
  </si>
  <si>
    <t xml:space="preserve">A form an insurer files with the state to prove a high-risk driver carries required liability cover.</t>
  </si>
  <si>
    <t xml:space="preserve">After a DUI, a driver's insurer files an SR-22 for 3 years.</t>
  </si>
  <si>
    <t xml:space="preserve">FR-44 (higher limits) is used in Florida and Virginia after DUIs.</t>
  </si>
  <si>
    <t xml:space="preserve">Auto Insurance &gt; Personal Auto Policy (PAP) &gt; Liability Coverage &gt; SR-22 / FR-44 Filings</t>
  </si>
  <si>
    <t xml:space="preserve">auto.personal_auto.physical_damage</t>
  </si>
  <si>
    <t xml:space="preserve">Physical Damage Coverage</t>
  </si>
  <si>
    <t xml:space="preserve">Full coverage (informal); Part D</t>
  </si>
  <si>
    <t xml:space="preserve">Covers damage to your own vehicle. Lenders and lessors require it.</t>
  </si>
  <si>
    <t xml:space="preserve">A new car owner with a loan buys collision and comprehensive as the lender requires.</t>
  </si>
  <si>
    <t xml:space="preserve">Auto Insurance &gt; Personal Auto Policy (PAP) &gt; Physical Damage Coverage</t>
  </si>
  <si>
    <t xml:space="preserve">auto.personal_auto.physical_damage.collision</t>
  </si>
  <si>
    <t xml:space="preserve">Collision Coverage</t>
  </si>
  <si>
    <t xml:space="preserve">Pays for damage to your car from hitting another vehicle or object, regardless of fault.</t>
  </si>
  <si>
    <t xml:space="preserve">A driver slides into a guardrail on ice and collision pays for repairs.</t>
  </si>
  <si>
    <t xml:space="preserve">Auto Insurance &gt; Personal Auto Policy (PAP) &gt; Physical Damage Coverage &gt; Collision Coverage</t>
  </si>
  <si>
    <t xml:space="preserve">auto.personal_auto.physical_damage.comprehensive</t>
  </si>
  <si>
    <t xml:space="preserve">Comprehensive (Other Than Collision)</t>
  </si>
  <si>
    <t xml:space="preserve">OTC; Comp</t>
  </si>
  <si>
    <t xml:space="preserve">Pays for damage to your car from non-crash events such as theft, hail, fire, flood, vandalism or hitting an animal.</t>
  </si>
  <si>
    <t xml:space="preserve">Hail dents a car's roof and the policy pays.</t>
  </si>
  <si>
    <t xml:space="preserve">Auto Insurance &gt; Personal Auto Policy (PAP) &gt; Physical Damage Coverage &gt; Comprehensive (Other Than Collision)</t>
  </si>
  <si>
    <t xml:space="preserve">auto.personal_auto.physical_damage.glass</t>
  </si>
  <si>
    <t xml:space="preserve">Full Glass Coverage</t>
  </si>
  <si>
    <t xml:space="preserve">Zero-deductible glass</t>
  </si>
  <si>
    <t xml:space="preserve">Pays to repair or replace windshields and windows with no deductible.</t>
  </si>
  <si>
    <t xml:space="preserve">A cracked windshield is replaced at no cost.</t>
  </si>
  <si>
    <t xml:space="preserve">Required to be offered with no deductible in some states (e.g. Florida, Kentucky, South Carolina).</t>
  </si>
  <si>
    <t xml:space="preserve">Auto Insurance &gt; Personal Auto Policy (PAP) &gt; Physical Damage Coverage &gt; Full Glass Coverage</t>
  </si>
  <si>
    <t xml:space="preserve">auto.personal_auto.first_party_injury</t>
  </si>
  <si>
    <t xml:space="preserve">First-Party Injury Coverages</t>
  </si>
  <si>
    <t xml:space="preserve">Pays medical costs for you and your passengers, regardless of who caused the crash.</t>
  </si>
  <si>
    <t xml:space="preserve">A driver's own policy pays for her hospital visit after a crash.</t>
  </si>
  <si>
    <t xml:space="preserve">Auto Insurance &gt; Personal Auto Policy (PAP) &gt; First-Party Injury Coverages</t>
  </si>
  <si>
    <t xml:space="preserve">auto.personal_auto.first_party_injury.pip</t>
  </si>
  <si>
    <t xml:space="preserve">Personal Injury Protection (PIP)</t>
  </si>
  <si>
    <t xml:space="preserve">No-fault insurance</t>
  </si>
  <si>
    <t xml:space="preserve">Pays your medical bills, lost wages and other costs after a crash no matter who caused it.</t>
  </si>
  <si>
    <t xml:space="preserve">A Michigan driver's PIP pays his medical bills after a crash.</t>
  </si>
  <si>
    <t xml:space="preserve">Required in no-fault states such as FL, MI, NY, NJ, PA, MA, MN, HI, KS, KY, ND, UT. NJ, PA and KY let drivers choose limited or full tort options.</t>
  </si>
  <si>
    <t xml:space="preserve">Auto Insurance &gt; Personal Auto Policy (PAP) &gt; First-Party Injury Coverages &gt; Personal Injury Protection (PIP)</t>
  </si>
  <si>
    <t xml:space="preserve">auto.personal_auto.first_party_injury.medpay</t>
  </si>
  <si>
    <t xml:space="preserve">Medical Payments Coverage (MedPay)</t>
  </si>
  <si>
    <t xml:space="preserve">Pays medical bills for you and passengers regardless of fault; narrower than PIP.</t>
  </si>
  <si>
    <t xml:space="preserve">A passenger's ambulance ride is covered.</t>
  </si>
  <si>
    <t xml:space="preserve">Optional in most states.</t>
  </si>
  <si>
    <t xml:space="preserve">Auto Insurance &gt; Personal Auto Policy (PAP) &gt; First-Party Injury Coverages &gt; Medical Payments Coverage (MedPay)</t>
  </si>
  <si>
    <t xml:space="preserve">auto.personal_auto.first_party_injury.um_uim</t>
  </si>
  <si>
    <t xml:space="preserve">Uninsured / Underinsured Motorist (UM/UIM)</t>
  </si>
  <si>
    <t xml:space="preserve">Pays for your injuries (and in some states car damage) if the at-fault driver has no insurance or too little.</t>
  </si>
  <si>
    <t xml:space="preserve">A hit-and-run driver injures you and your UM cover pays.</t>
  </si>
  <si>
    <t xml:space="preserve">Required in about 20 states and must be offered (rejectable in writing) in most others.</t>
  </si>
  <si>
    <t xml:space="preserve">Auto Insurance &gt; Personal Auto Policy (PAP) &gt; First-Party Injury Coverages &gt; Uninsured / Underinsured Motorist (UM/UIM)</t>
  </si>
  <si>
    <t xml:space="preserve">auto.personal_auto.auto_endorsements</t>
  </si>
  <si>
    <t xml:space="preserve">Auto Endorsements &amp; Add-Ons</t>
  </si>
  <si>
    <t xml:space="preserve">Optional coverages</t>
  </si>
  <si>
    <t xml:space="preserve">Optional extras added to a car policy.</t>
  </si>
  <si>
    <t xml:space="preserve">A driver adds rental reimbursement and roadside assistance.</t>
  </si>
  <si>
    <t xml:space="preserve">Auto Insurance &gt; Personal Auto Policy (PAP) &gt; Auto Endorsements &amp; Add-Ons</t>
  </si>
  <si>
    <t xml:space="preserve">auto.personal_auto.auto_endorsements.gap</t>
  </si>
  <si>
    <t xml:space="preserve">GAP Insurance</t>
  </si>
  <si>
    <t xml:space="preserve">Guaranteed Asset Protection; Loan/lease payoff</t>
  </si>
  <si>
    <t xml:space="preserve">Covers the difference between what you owe on a car loan or lease and the car's value if it is totaled.</t>
  </si>
  <si>
    <t xml:space="preserve">A new car is totaled six months after purchase and GAP covers the loan shortfall.</t>
  </si>
  <si>
    <t xml:space="preserve">Sold by insurers or as a dealer waiver; a few states limit dealer GAP.</t>
  </si>
  <si>
    <t xml:space="preserve">Auto Insurance &gt; Personal Auto Policy (PAP) &gt; Auto Endorsements &amp; Add-Ons &gt; GAP Insurance</t>
  </si>
  <si>
    <t xml:space="preserve">auto.personal_auto.auto_endorsements.new_car_replacement</t>
  </si>
  <si>
    <t xml:space="preserve">New Car Replacement</t>
  </si>
  <si>
    <t xml:space="preserve">Replaces a totaled new car with a brand-new one of the same model rather than paying its depreciated value.</t>
  </si>
  <si>
    <t xml:space="preserve">A 1-year-old car is totaled and replaced with a new one.</t>
  </si>
  <si>
    <t xml:space="preserve">Auto Insurance &gt; Personal Auto Policy (PAP) &gt; Auto Endorsements &amp; Add-Ons &gt; New Car Replacement</t>
  </si>
  <si>
    <t xml:space="preserve">auto.personal_auto.auto_endorsements.rental</t>
  </si>
  <si>
    <t xml:space="preserve">Rental Reimbursement</t>
  </si>
  <si>
    <t xml:space="preserve">Transportation expense</t>
  </si>
  <si>
    <t xml:space="preserve">Pays for a rental car while yours is being repaired after a covered claim.</t>
  </si>
  <si>
    <t xml:space="preserve">A driver gets a rental car for 10 days during repairs.</t>
  </si>
  <si>
    <t xml:space="preserve">Auto Insurance &gt; Personal Auto Policy (PAP) &gt; Auto Endorsements &amp; Add-Ons &gt; Rental Reimbursement</t>
  </si>
  <si>
    <t xml:space="preserve">auto.personal_auto.auto_endorsements.roadside</t>
  </si>
  <si>
    <t xml:space="preserve">Roadside Assistance</t>
  </si>
  <si>
    <t xml:space="preserve">Towing and labor</t>
  </si>
  <si>
    <t xml:space="preserve">Helps with towing, flat tires, dead batteries and lock-outs.</t>
  </si>
  <si>
    <t xml:space="preserve">A car breaks down on a highway and is towed to a garage.</t>
  </si>
  <si>
    <t xml:space="preserve">Auto Insurance &gt; Personal Auto Policy (PAP) &gt; Auto Endorsements &amp; Add-Ons &gt; Roadside Assistance</t>
  </si>
  <si>
    <t xml:space="preserve">auto.personal_auto.auto_endorsements.accident_forgiveness</t>
  </si>
  <si>
    <t xml:space="preserve">Accident Forgiveness</t>
  </si>
  <si>
    <t xml:space="preserve">Prevents your premium from rising after your first at-fault accident.</t>
  </si>
  <si>
    <t xml:space="preserve">A driver's rate doesn't rise after a minor fender-bender.</t>
  </si>
  <si>
    <t xml:space="preserve">Not permitted or restricted in some states (e.g. California).</t>
  </si>
  <si>
    <t xml:space="preserve">Auto Insurance &gt; Personal Auto Policy (PAP) &gt; Auto Endorsements &amp; Add-Ons &gt; Accident Forgiveness</t>
  </si>
  <si>
    <t xml:space="preserve">auto.personal_auto.auto_endorsements.custom_equipment</t>
  </si>
  <si>
    <t xml:space="preserve">Custom Parts &amp; Equipment</t>
  </si>
  <si>
    <t xml:space="preserve">CPE</t>
  </si>
  <si>
    <t xml:space="preserve">Covers aftermarket add-ons such as custom wheels or stereos.</t>
  </si>
  <si>
    <t xml:space="preserve">A stolen custom sound system is replaced.</t>
  </si>
  <si>
    <t xml:space="preserve">Auto Insurance &gt; Personal Auto Policy (PAP) &gt; Auto Endorsements &amp; Add-Ons &gt; Custom Parts &amp; Equipment</t>
  </si>
  <si>
    <t xml:space="preserve">auto.personal_auto.auto_endorsements.rideshare</t>
  </si>
  <si>
    <t xml:space="preserve">Rideshare Endorsement</t>
  </si>
  <si>
    <t xml:space="preserve">TNC coverage</t>
  </si>
  <si>
    <t xml:space="preserve">Fills the gap in a personal policy when you drive for Uber, Lyft or delivery apps with the app on but no ride accepted.</t>
  </si>
  <si>
    <t xml:space="preserve">An Uber driver waiting for a ride request is covered after a crash.</t>
  </si>
  <si>
    <t xml:space="preserve">Most states have TNC laws setting required coverage by driving period.</t>
  </si>
  <si>
    <t xml:space="preserve">Auto Insurance &gt; Personal Auto Policy (PAP) &gt; Auto Endorsements &amp; Add-Ons &gt; Rideshare Endorsement</t>
  </si>
  <si>
    <t xml:space="preserve">auto.personal_auto.usage_based</t>
  </si>
  <si>
    <t xml:space="preserve">Usage-Based Insurance (UBI)</t>
  </si>
  <si>
    <t xml:space="preserve">Telematics; Pay-per-mile</t>
  </si>
  <si>
    <t xml:space="preserve">Premiums based on how much or how well you drive, measured by an app or plug-in device.</t>
  </si>
  <si>
    <t xml:space="preserve">A careful driver uses an insurer app to earn a discount.</t>
  </si>
  <si>
    <t xml:space="preserve">Examples: Progressive Snapshot, State Farm Drive Safe &amp; Save, Allstate Milewise (pay-per-mile).</t>
  </si>
  <si>
    <t xml:space="preserve">Auto Insurance &gt; Personal Auto Policy (PAP) &gt; Usage-Based Insurance (UBI)</t>
  </si>
  <si>
    <t xml:space="preserve">auto.personal_auto.non_standard</t>
  </si>
  <si>
    <t xml:space="preserve">Non-Standard Auto</t>
  </si>
  <si>
    <t xml:space="preserve">High-risk auto</t>
  </si>
  <si>
    <t xml:space="preserve">Auto insurance for drivers with poor records, lapses in cover or no credit history.</t>
  </si>
  <si>
    <t xml:space="preserve">A driver with two speeding tickets and a lapse buys non-standard cover.</t>
  </si>
  <si>
    <t xml:space="preserve">Drivers who can't find cover can use state auto insurance plans (assigned risk).</t>
  </si>
  <si>
    <t xml:space="preserve">Auto Insurance &gt; Personal Auto Policy (PAP) &gt; Non-Standard Auto</t>
  </si>
  <si>
    <t xml:space="preserve">auto.personal_auto.non_owner</t>
  </si>
  <si>
    <t xml:space="preserve">Non-Owner Car Insurance</t>
  </si>
  <si>
    <t xml:space="preserve">Liability cover for people who drive but don't own a car.</t>
  </si>
  <si>
    <t xml:space="preserve">A city resident who rents cars often buys a non-owner policy.</t>
  </si>
  <si>
    <t xml:space="preserve">Often used to satisfy an SR-22 requirement.</t>
  </si>
  <si>
    <t xml:space="preserve">Auto Insurance &gt; Personal Auto Policy (PAP) &gt; Non-Owner Car Insurance</t>
  </si>
  <si>
    <t xml:space="preserve">auto.personal_auto.classic_car</t>
  </si>
  <si>
    <t xml:space="preserve">Classic / Collector Car</t>
  </si>
  <si>
    <t xml:space="preserve">Agreed value auto</t>
  </si>
  <si>
    <t xml:space="preserve">Covers vintage and collector cars at an agreed value, usually with mileage and storage rules.</t>
  </si>
  <si>
    <t xml:space="preserve">A 1967 Mustang owner insures the car for its agreed value of $60,000.</t>
  </si>
  <si>
    <t xml:space="preserve">Specialist carriers include Hagerty and Grundy.</t>
  </si>
  <si>
    <t xml:space="preserve">Auto Insurance &gt; Personal Auto Policy (PAP) &gt; Classic / Collector Car</t>
  </si>
  <si>
    <t xml:space="preserve">auto.motorcycle</t>
  </si>
  <si>
    <t xml:space="preserve">Motorcycle Insurance</t>
  </si>
  <si>
    <t xml:space="preserve">Cover for motorcycles, scooters and mopeds, with liability, physical damage and injury options similar to cars.</t>
  </si>
  <si>
    <t xml:space="preserve">A rider insures a Harley-Davidson.</t>
  </si>
  <si>
    <t xml:space="preserve">Required in almost every state; helmet laws vary.</t>
  </si>
  <si>
    <t xml:space="preserve">Auto Insurance &gt; Motorcycle Insurance</t>
  </si>
  <si>
    <t xml:space="preserve">auto.recreational_vehicles</t>
  </si>
  <si>
    <t xml:space="preserve">Recreational Vehicles</t>
  </si>
  <si>
    <t xml:space="preserve">Cover for motorhomes, trailers, ATVs, snowmobiles and golf carts.</t>
  </si>
  <si>
    <t xml:space="preserve">A family insures its travel trailer.</t>
  </si>
  <si>
    <t xml:space="preserve">Auto Insurance &gt; Recreational Vehicles</t>
  </si>
  <si>
    <t xml:space="preserve">auto.recreational_vehicles.rv</t>
  </si>
  <si>
    <t xml:space="preserve">RV / Motorhome</t>
  </si>
  <si>
    <t xml:space="preserve">Covers motorhomes and travel trailers, including contents and vacation liability.</t>
  </si>
  <si>
    <t xml:space="preserve">A retired couple insures their RV for a cross-country trip.</t>
  </si>
  <si>
    <t xml:space="preserve">Auto Insurance &gt; Recreational Vehicles &gt; RV / Motorhome</t>
  </si>
  <si>
    <t xml:space="preserve">auto.recreational_vehicles.off_road</t>
  </si>
  <si>
    <t xml:space="preserve">ATV / Off-Road Vehicle</t>
  </si>
  <si>
    <t xml:space="preserve">Covers ATVs, UTVs and dirt bikes.</t>
  </si>
  <si>
    <t xml:space="preserve">An ATV rolls over on a trail and repairs are paid.</t>
  </si>
  <si>
    <t xml:space="preserve">Auto Insurance &gt; Recreational Vehicles &gt; ATV / Off-Road Vehicle</t>
  </si>
  <si>
    <t xml:space="preserve">auto.recreational_vehicles.snowmobile</t>
  </si>
  <si>
    <t xml:space="preserve">Snowmobile</t>
  </si>
  <si>
    <t xml:space="preserve">Covers snowmobiles and their riders' liability.</t>
  </si>
  <si>
    <t xml:space="preserve">A snowmobiler hits a fence and liability pays.</t>
  </si>
  <si>
    <t xml:space="preserve">Auto Insurance &gt; Recreational Vehicles &gt; Snowmobile</t>
  </si>
  <si>
    <t xml:space="preserve">auto.commercial_auto</t>
  </si>
  <si>
    <t xml:space="preserve">Commercial Auto</t>
  </si>
  <si>
    <t xml:space="preserve">Business auto</t>
  </si>
  <si>
    <t xml:space="preserve">Cover for vehicles used for business, such as vans, trucks, delivery vehicles and limos.</t>
  </si>
  <si>
    <t xml:space="preserve">A plumbing company insures its five vans.</t>
  </si>
  <si>
    <t xml:space="preserve">Based on the ISO Business Auto Policy (BAP). Federal FMCSA minimum limits apply to interstate carriers ($750,000+ for general freight).</t>
  </si>
  <si>
    <t xml:space="preserve">Auto Insurance &gt; Commercial Auto</t>
  </si>
  <si>
    <t xml:space="preserve">auto.commercial_auto.business_auto</t>
  </si>
  <si>
    <t xml:space="preserve">Business Auto Policy (BAP)</t>
  </si>
  <si>
    <t xml:space="preserve">Covers company-owned cars, vans and light trucks.</t>
  </si>
  <si>
    <t xml:space="preserve">A landscaping company insures its pickup trucks.</t>
  </si>
  <si>
    <t xml:space="preserve">Uses covered auto symbols (1-9) to define which vehicles are covered.</t>
  </si>
  <si>
    <t xml:space="preserve">Auto Insurance &gt; Commercial Auto &gt; Business Auto Policy (BAP)</t>
  </si>
  <si>
    <t xml:space="preserve">auto.commercial_auto.hnoa</t>
  </si>
  <si>
    <t xml:space="preserve">Hired &amp; Non-Owned Auto (HNOA)</t>
  </si>
  <si>
    <t xml:space="preserve">Covers a business's liability when employees drive rented cars or their own cars for work.</t>
  </si>
  <si>
    <t xml:space="preserve">An employee crashes their own car on a sales trip and the company is sued.</t>
  </si>
  <si>
    <t xml:space="preserve">Auto Insurance &gt; Commercial Auto &gt; Hired &amp; Non-Owned Auto (HNOA)</t>
  </si>
  <si>
    <t xml:space="preserve">auto.commercial_auto.trucking</t>
  </si>
  <si>
    <t xml:space="preserve">Trucking Insurance</t>
  </si>
  <si>
    <t xml:space="preserve">Motor carrier coverage</t>
  </si>
  <si>
    <t xml:space="preserve">Cover for businesses that haul goods for others.</t>
  </si>
  <si>
    <t xml:space="preserve">A regional carrier insures 40 tractor-trailers.</t>
  </si>
  <si>
    <t xml:space="preserve">Interstate for-hire carriers file proof of insurance with FMCSA (MCS-90 endorsement).</t>
  </si>
  <si>
    <t xml:space="preserve">Auto Insurance &gt; Commercial Auto &gt; Trucking Insurance</t>
  </si>
  <si>
    <t xml:space="preserve">auto.commercial_auto.trucking.primary_auto_liability</t>
  </si>
  <si>
    <t xml:space="preserve">Primary Auto Liability</t>
  </si>
  <si>
    <t xml:space="preserve">The main liability cover for a truck fleet, meeting federal minimums.</t>
  </si>
  <si>
    <t xml:space="preserve">A carrier carries $1 million primary liability.</t>
  </si>
  <si>
    <t xml:space="preserve">Auto Insurance &gt; Commercial Auto &gt; Trucking Insurance &gt; Primary Auto Liability</t>
  </si>
  <si>
    <t xml:space="preserve">auto.commercial_auto.trucking.motor_truck_cargo</t>
  </si>
  <si>
    <t xml:space="preserve">Motor Truck Cargo</t>
  </si>
  <si>
    <t xml:space="preserve">Covers goods being carried in a truck against loss or damage.</t>
  </si>
  <si>
    <t xml:space="preserve">A trucker's load of TVs is stolen and cargo cover pays.</t>
  </si>
  <si>
    <t xml:space="preserve">Auto Insurance &gt; Commercial Auto &gt; Trucking Insurance &gt; Motor Truck Cargo</t>
  </si>
  <si>
    <t xml:space="preserve">auto.commercial_auto.trucking.physical_damage_truck</t>
  </si>
  <si>
    <t xml:space="preserve">Truck Physical Damage</t>
  </si>
  <si>
    <t xml:space="preserve">Covers damage to trucks and trailers.</t>
  </si>
  <si>
    <t xml:space="preserve">A truck damaged in a rollover is repaired.</t>
  </si>
  <si>
    <t xml:space="preserve">Auto Insurance &gt; Commercial Auto &gt; Trucking Insurance &gt; Truck Physical Damage</t>
  </si>
  <si>
    <t xml:space="preserve">auto.commercial_auto.trucking.bobtail</t>
  </si>
  <si>
    <t xml:space="preserve">Non-Trucking Liability / Bobtail</t>
  </si>
  <si>
    <t xml:space="preserve">Covers owner-operators driving a truck when not under dispatch for a motor carrier.</t>
  </si>
  <si>
    <t xml:space="preserve">An owner-operator driving home without a trailer is covered.</t>
  </si>
  <si>
    <t xml:space="preserve">Auto Insurance &gt; Commercial Auto &gt; Trucking Insurance &gt; Non-Trucking Liability / Bobtail</t>
  </si>
  <si>
    <t xml:space="preserve">auto.commercial_auto.garage</t>
  </si>
  <si>
    <t xml:space="preserve">Garage &amp; Dealers</t>
  </si>
  <si>
    <t xml:space="preserve">Garage liability; Auto dealers coverage</t>
  </si>
  <si>
    <t xml:space="preserve">Covers auto dealers, repair shops and parking operators for their operations and customers' vehicles.</t>
  </si>
  <si>
    <t xml:space="preserve">A mechanic's customer car is damaged during a test drive.</t>
  </si>
  <si>
    <t xml:space="preserve">Auto Insurance &gt; Commercial Auto &gt; Garage &amp; Dealers</t>
  </si>
  <si>
    <t xml:space="preserve">auto.commercial_auto.garage.garagekeepers</t>
  </si>
  <si>
    <t xml:space="preserve">Garagekeepers Coverage</t>
  </si>
  <si>
    <t xml:space="preserve">Covers customers' vehicles in your care, custody and control.</t>
  </si>
  <si>
    <t xml:space="preserve">A fire in a repair shop damages five customer cars.</t>
  </si>
  <si>
    <t xml:space="preserve">Auto Insurance &gt; Commercial Auto &gt; Garage &amp; Dealers &gt; Garagekeepers Coverage</t>
  </si>
  <si>
    <t xml:space="preserve">auto.commercial_auto.garage.dealers_open_lot</t>
  </si>
  <si>
    <t xml:space="preserve">Dealers Open Lot</t>
  </si>
  <si>
    <t xml:space="preserve">Floor plan coverage</t>
  </si>
  <si>
    <t xml:space="preserve">Covers a dealer's inventory of vehicles on the lot.</t>
  </si>
  <si>
    <t xml:space="preserve">A hailstorm damages 50 new cars on a dealer's lot.</t>
  </si>
  <si>
    <t xml:space="preserve">Auto Insurance &gt; Commercial Auto &gt; Garage &amp; Dealers &gt; Dealers Open Lot</t>
  </si>
  <si>
    <t xml:space="preserve">auto.commercial_auto.public_livery</t>
  </si>
  <si>
    <t xml:space="preserve">Public Auto / Livery</t>
  </si>
  <si>
    <t xml:space="preserve">Taxi and limo insurance</t>
  </si>
  <si>
    <t xml:space="preserve">Covers taxis, limos, buses and other vehicles carrying paying passengers.</t>
  </si>
  <si>
    <t xml:space="preserve">A limousine company insures its fleet with higher limits.</t>
  </si>
  <si>
    <t xml:space="preserve">Required limits often set by city or state regulators.</t>
  </si>
  <si>
    <t xml:space="preserve">Auto Insurance &gt; Commercial Auto &gt; Public Auto / Livery</t>
  </si>
  <si>
    <t xml:space="preserve">auto.commercial_auto.tnc_commercial</t>
  </si>
  <si>
    <t xml:space="preserve">TNC Commercial Policy</t>
  </si>
  <si>
    <t xml:space="preserve">Policies bought by rideshare companies like Uber and Lyft covering drivers once a ride is accepted.</t>
  </si>
  <si>
    <t xml:space="preserve">A crash during an Uber ride is covered by Uber's insurer.</t>
  </si>
  <si>
    <t xml:space="preserve">State TNC laws typically require $1 million liability while a passenger is on board.</t>
  </si>
  <si>
    <t xml:space="preserve">Auto Insurance &gt; Commercial Auto &gt; TNC Commercial Policy</t>
  </si>
  <si>
    <t xml:space="preserve">commercial</t>
  </si>
  <si>
    <t xml:space="preserve">Commercial Lines (Business Property &amp; Packages)</t>
  </si>
  <si>
    <t xml:space="preserve">Business insurance; Commercial P&amp;C</t>
  </si>
  <si>
    <t xml:space="preserve">Insurance businesses buy to protect their buildings, equipment, income and operations. Business liability, workers' comp and commercial auto are in their own branches.</t>
  </si>
  <si>
    <t xml:space="preserve">A bakery buys cover for its ovens, premises and lost income after a fire.</t>
  </si>
  <si>
    <t xml:space="preserve">Most standard commercial forms come from ISO. Larger or unusual risks often go to the excess and surplus (E&amp;S) lines market, which has lighter rate and form regulation.</t>
  </si>
  <si>
    <t xml:space="preserve">commercial.packages</t>
  </si>
  <si>
    <t xml:space="preserve">Business Package Policies</t>
  </si>
  <si>
    <t xml:space="preserve">Bundles of common business covers sold as one policy.</t>
  </si>
  <si>
    <t xml:space="preserve">A dental office buys one package for building, contents and liability.</t>
  </si>
  <si>
    <t xml:space="preserve">Commercial Lines (Business Property &amp; Packages) &gt; Business Package Policies</t>
  </si>
  <si>
    <t xml:space="preserve">commercial.packages.bop</t>
  </si>
  <si>
    <t xml:space="preserve">Business Owner's Policy (BOP)</t>
  </si>
  <si>
    <t xml:space="preserve">A package for small and mid-sized businesses combining property, business income and general liability.</t>
  </si>
  <si>
    <t xml:space="preserve">A small retail shop buys a BOP for about $1,000 a year.</t>
  </si>
  <si>
    <t xml:space="preserve">Eligibility limited by size and class (e.g. offices, retail, restaurants, contractors).</t>
  </si>
  <si>
    <t xml:space="preserve">Commercial Lines (Business Property &amp; Packages) &gt; Business Package Policies &gt; Business Owner's Policy (BOP)</t>
  </si>
  <si>
    <t xml:space="preserve">commercial.packages.cpp</t>
  </si>
  <si>
    <t xml:space="preserve">Commercial Package Policy (CPP)</t>
  </si>
  <si>
    <t xml:space="preserve">Modular package</t>
  </si>
  <si>
    <t xml:space="preserve">A package for larger businesses built from separate ISO coverage parts (property, GL, crime, inland marine, equipment breakdown).</t>
  </si>
  <si>
    <t xml:space="preserve">A mid-size manufacturer builds a CPP with property, GL and crime.</t>
  </si>
  <si>
    <t xml:space="preserve">Qualifies for a package discount when property and GL are combined.</t>
  </si>
  <si>
    <t xml:space="preserve">Commercial Lines (Business Property &amp; Packages) &gt; Business Package Policies &gt; Commercial Package Policy (CPP)</t>
  </si>
  <si>
    <t xml:space="preserve">commercial.packages.industry_programs</t>
  </si>
  <si>
    <t xml:space="preserve">Industry Program Policies</t>
  </si>
  <si>
    <t xml:space="preserve">Program business</t>
  </si>
  <si>
    <t xml:space="preserve">Tailored packages for a specific industry, often written through program administrators or MGAs.</t>
  </si>
  <si>
    <t xml:space="preserve">A chain of fitness studios buys a fitness-industry package.</t>
  </si>
  <si>
    <t xml:space="preserve">Commercial Lines (Business Property &amp; Packages) &gt; Business Package Policies &gt; Industry Program Policies</t>
  </si>
  <si>
    <t xml:space="preserve">commercial.commercial_property</t>
  </si>
  <si>
    <t xml:space="preserve">Commercial Property</t>
  </si>
  <si>
    <t xml:space="preserve">Business property; Building and personal property</t>
  </si>
  <si>
    <t xml:space="preserve">Covers business buildings, equipment, inventory and improvements against fire, storm and other damage.</t>
  </si>
  <si>
    <t xml:space="preserve">A warehouse fire destroys inventory and the insurer pays to replace it.</t>
  </si>
  <si>
    <t xml:space="preserve">ISO Building and Personal Property Coverage Form (CP 00 10).</t>
  </si>
  <si>
    <t xml:space="preserve">Commercial Lines (Business Property &amp; Packages) &gt; Commercial Property</t>
  </si>
  <si>
    <t xml:space="preserve">commercial.commercial_property.causes_of_loss</t>
  </si>
  <si>
    <t xml:space="preserve">Causes of Loss Forms</t>
  </si>
  <si>
    <t xml:space="preserve">ISO forms that define which perils are covered.</t>
  </si>
  <si>
    <t xml:space="preserve">A business picks the special form for the broadest cover.</t>
  </si>
  <si>
    <t xml:space="preserve">Commercial Lines (Business Property &amp; Packages) &gt; Commercial Property &gt; Causes of Loss Forms</t>
  </si>
  <si>
    <t xml:space="preserve">commercial.commercial_property.causes_of_loss.basic_form</t>
  </si>
  <si>
    <t xml:space="preserve">Basic Form</t>
  </si>
  <si>
    <t xml:space="preserve">A short named-peril list such as fire, lightning, explosion, windstorm, smoke, riot and vandalism.</t>
  </si>
  <si>
    <t xml:space="preserve">A low-budget policy for a vacant building.</t>
  </si>
  <si>
    <t xml:space="preserve">Commercial Lines (Business Property &amp; Packages) &gt; Commercial Property &gt; Causes of Loss Forms &gt; Basic Form</t>
  </si>
  <si>
    <t xml:space="preserve">commercial.commercial_property.causes_of_loss.broad_form</t>
  </si>
  <si>
    <t xml:space="preserve">Broad Form</t>
  </si>
  <si>
    <t xml:space="preserve">Adds falling objects, weight of snow and water damage to the basic list.</t>
  </si>
  <si>
    <t xml:space="preserve">A business picks broad form for more named perils.</t>
  </si>
  <si>
    <t xml:space="preserve">Commercial Lines (Business Property &amp; Packages) &gt; Commercial Property &gt; Causes of Loss Forms &gt; Broad Form</t>
  </si>
  <si>
    <t xml:space="preserve">commercial.commercial_property.causes_of_loss.special_form</t>
  </si>
  <si>
    <t xml:space="preserve">Special Form</t>
  </si>
  <si>
    <t xml:space="preserve">Open perils; All-risk</t>
  </si>
  <si>
    <t xml:space="preserve">Covers all causes of loss except those excluded.</t>
  </si>
  <si>
    <t xml:space="preserve">Most commercial property is written on the special form.</t>
  </si>
  <si>
    <t xml:space="preserve">Commercial Lines (Business Property &amp; Packages) &gt; Commercial Property &gt; Causes of Loss Forms &gt; Special Form</t>
  </si>
  <si>
    <t xml:space="preserve">commercial.commercial_property.blanket</t>
  </si>
  <si>
    <t xml:space="preserve">Blanket Coverage</t>
  </si>
  <si>
    <t xml:space="preserve">One limit applies across several buildings or locations rather than separate limits for each.</t>
  </si>
  <si>
    <t xml:space="preserve">A retailer with 10 stores uses a blanket limit.</t>
  </si>
  <si>
    <t xml:space="preserve">Commercial Lines (Business Property &amp; Packages) &gt; Commercial Property &gt; Blanket Coverage</t>
  </si>
  <si>
    <t xml:space="preserve">commercial.commercial_property.difference_in_conditions</t>
  </si>
  <si>
    <t xml:space="preserve">Difference in Conditions (DIC)</t>
  </si>
  <si>
    <t xml:space="preserve">Fills gaps in a main property policy, usually adding earthquake and flood.</t>
  </si>
  <si>
    <t xml:space="preserve">A California office building buys DIC for earthquake.</t>
  </si>
  <si>
    <t xml:space="preserve">Commercial Lines (Business Property &amp; Packages) &gt; Commercial Property &gt; Difference in Conditions (DIC)</t>
  </si>
  <si>
    <t xml:space="preserve">commercial.commercial_property.glass</t>
  </si>
  <si>
    <t xml:space="preserve">Commercial Glass</t>
  </si>
  <si>
    <t xml:space="preserve">Covers breakage of storefront windows and glass fittings.</t>
  </si>
  <si>
    <t xml:space="preserve">A shop's front window is smashed by vandals.</t>
  </si>
  <si>
    <t xml:space="preserve">Commercial Lines (Business Property &amp; Packages) &gt; Commercial Property &gt; Commercial Glass</t>
  </si>
  <si>
    <t xml:space="preserve">commercial.commercial_property.spoilage</t>
  </si>
  <si>
    <t xml:space="preserve">Spoilage Coverage</t>
  </si>
  <si>
    <t xml:space="preserve">Covers perishable stock that spoils after power failure or refrigeration breakdown.</t>
  </si>
  <si>
    <t xml:space="preserve">A grocer's frozen food spoils when a freezer fails.</t>
  </si>
  <si>
    <t xml:space="preserve">Commercial Lines (Business Property &amp; Packages) &gt; Commercial Property &gt; Spoilage Coverage</t>
  </si>
  <si>
    <t xml:space="preserve">commercial.commercial_property.terrorism</t>
  </si>
  <si>
    <t xml:space="preserve">Terrorism Coverage (TRIA)</t>
  </si>
  <si>
    <t xml:space="preserve">TRIPRA</t>
  </si>
  <si>
    <t xml:space="preserve">Covers damage from certified acts of terrorism, backed by a federal reinsurance program.</t>
  </si>
  <si>
    <t xml:space="preserve">An office tower buys terrorism cover.</t>
  </si>
  <si>
    <t xml:space="preserve">The Terrorism Risk Insurance Act requires insurers to offer the cover; the federal backstop runs through 2027 under current law.</t>
  </si>
  <si>
    <t xml:space="preserve">Commercial Lines (Business Property &amp; Packages) &gt; Commercial Property &gt; Terrorism Coverage (TRIA)</t>
  </si>
  <si>
    <t xml:space="preserve">commercial.business_income</t>
  </si>
  <si>
    <t xml:space="preserve">Business Income &amp; Extra Expense</t>
  </si>
  <si>
    <t xml:space="preserve">Business interruption (BI)</t>
  </si>
  <si>
    <t xml:space="preserve">Pays lost profit and continuing expenses when a business can't operate after physical damage from a covered cause.</t>
  </si>
  <si>
    <t xml:space="preserve">A restaurant closed for 3 months after a fire receives its lost profits.</t>
  </si>
  <si>
    <t xml:space="preserve">ISO form CP 00 30.</t>
  </si>
  <si>
    <t xml:space="preserve">Commercial Lines (Business Property &amp; Packages) &gt; Business Income &amp; Extra Expense</t>
  </si>
  <si>
    <t xml:space="preserve">commercial.business_income.extra_expense</t>
  </si>
  <si>
    <t xml:space="preserve">Extra Expense</t>
  </si>
  <si>
    <t xml:space="preserve">Pays extra costs to keep running after damage, such as renting temporary space.</t>
  </si>
  <si>
    <t xml:space="preserve">An office rents a temporary floor while its own is repaired.</t>
  </si>
  <si>
    <t xml:space="preserve">Commercial Lines (Business Property &amp; Packages) &gt; Business Income &amp; Extra Expense &gt; Extra Expense</t>
  </si>
  <si>
    <t xml:space="preserve">commercial.business_income.contingent_bi</t>
  </si>
  <si>
    <t xml:space="preserve">Contingent Business Income</t>
  </si>
  <si>
    <t xml:space="preserve">Dependent properties</t>
  </si>
  <si>
    <t xml:space="preserve">Covers lost income when a key supplier or customer suffers covered damage.</t>
  </si>
  <si>
    <t xml:space="preserve">A car maker loses income when a parts supplier's factory burns.</t>
  </si>
  <si>
    <t xml:space="preserve">Commercial Lines (Business Property &amp; Packages) &gt; Business Income &amp; Extra Expense &gt; Contingent Business Income</t>
  </si>
  <si>
    <t xml:space="preserve">commercial.business_income.civil_authority</t>
  </si>
  <si>
    <t xml:space="preserve">Civil Authority</t>
  </si>
  <si>
    <t xml:space="preserve">Covers lost income when authorities prohibit access to your premises because of nearby damage.</t>
  </si>
  <si>
    <t xml:space="preserve">Police close a street after an explosion next door.</t>
  </si>
  <si>
    <t xml:space="preserve">Heavily litigated after COVID-19 closures; courts mostly found no physical loss.</t>
  </si>
  <si>
    <t xml:space="preserve">Commercial Lines (Business Property &amp; Packages) &gt; Business Income &amp; Extra Expense &gt; Civil Authority</t>
  </si>
  <si>
    <t xml:space="preserve">commercial.business_income.utility_services</t>
  </si>
  <si>
    <t xml:space="preserve">Utility Services - Time Element</t>
  </si>
  <si>
    <t xml:space="preserve">Off-premises power</t>
  </si>
  <si>
    <t xml:space="preserve">Covers lost income when an off-site utility (power, water, telecom) fails due to covered damage.</t>
  </si>
  <si>
    <t xml:space="preserve">A power station fire shuts down a factory for 4 days.</t>
  </si>
  <si>
    <t xml:space="preserve">Commercial Lines (Business Property &amp; Packages) &gt; Business Income &amp; Extra Expense &gt; Utility Services - Time Element</t>
  </si>
  <si>
    <t xml:space="preserve">commercial.builders_risk</t>
  </si>
  <si>
    <t xml:space="preserve">Builder's Risk</t>
  </si>
  <si>
    <t xml:space="preserve">Course of construction</t>
  </si>
  <si>
    <t xml:space="preserve">Covers buildings under construction or renovation, including materials on site.</t>
  </si>
  <si>
    <t xml:space="preserve">A developer insures a new apartment block during construction.</t>
  </si>
  <si>
    <t xml:space="preserve">Often written as inland marine in the US.</t>
  </si>
  <si>
    <t xml:space="preserve">Commercial Lines (Business Property &amp; Packages) &gt; Builder's Risk</t>
  </si>
  <si>
    <t xml:space="preserve">commercial.builders_risk.wrap_up</t>
  </si>
  <si>
    <t xml:space="preserve">Wrap-Up Programs (OCIP / CCIP)</t>
  </si>
  <si>
    <t xml:space="preserve">Owner- or contractor-controlled insurance program</t>
  </si>
  <si>
    <t xml:space="preserve">One insurance program bought by the owner (OCIP) or general contractor (CCIP) covering all contractors on a large project.</t>
  </si>
  <si>
    <t xml:space="preserve">A stadium project buys an OCIP covering GL and workers' comp for all trades.</t>
  </si>
  <si>
    <t xml:space="preserve">Some states restrict wrap-ups on public projects.</t>
  </si>
  <si>
    <t xml:space="preserve">Commercial Lines (Business Property &amp; Packages) &gt; Builder's Risk &gt; Wrap-Up Programs (OCIP / CCIP)</t>
  </si>
  <si>
    <t xml:space="preserve">commercial.builders_risk.soft_costs</t>
  </si>
  <si>
    <t xml:space="preserve">Soft Costs / Delay in Completion</t>
  </si>
  <si>
    <t xml:space="preserve">Covers extra interest, fees and lost rent when a project is delayed by covered damage.</t>
  </si>
  <si>
    <t xml:space="preserve">A storm delays an apartment building's opening by 3 months.</t>
  </si>
  <si>
    <t xml:space="preserve">Commercial Lines (Business Property &amp; Packages) &gt; Builder's Risk &gt; Soft Costs / Delay in Completion</t>
  </si>
  <si>
    <t xml:space="preserve">commercial.equipment_breakdown</t>
  </si>
  <si>
    <t xml:space="preserve">Equipment Breakdown</t>
  </si>
  <si>
    <t xml:space="preserve">Boiler &amp; machinery</t>
  </si>
  <si>
    <t xml:space="preserve">Covers sudden mechanical or electrical breakdown of equipment like boilers, HVAC and computers, which property policies exclude.</t>
  </si>
  <si>
    <t xml:space="preserve">A restaurant's walk-in cooler compressor burns out.</t>
  </si>
  <si>
    <t xml:space="preserve">Many states require boiler inspections, often performed by the equipment breakdown insurer.</t>
  </si>
  <si>
    <t xml:space="preserve">Commercial Lines (Business Property &amp; Packages) &gt; Equipment Breakdown</t>
  </si>
  <si>
    <t xml:space="preserve">commercial.farm</t>
  </si>
  <si>
    <t xml:space="preserve">Farm &amp; Ranch Property</t>
  </si>
  <si>
    <t xml:space="preserve">Farmowners</t>
  </si>
  <si>
    <t xml:space="preserve">Package cover for farm dwellings, barns, equipment and livestock plus farm liability.</t>
  </si>
  <si>
    <t xml:space="preserve">A dairy farm insures its barns and milking equipment.</t>
  </si>
  <si>
    <t xml:space="preserve">Crop insurance is separate (see Agricultural). ISO and AAIS publish farm forms.</t>
  </si>
  <si>
    <t xml:space="preserve">Commercial Lines (Business Property &amp; Packages) &gt; Farm &amp; Ranch Property</t>
  </si>
  <si>
    <t xml:space="preserve">commercial.habitational</t>
  </si>
  <si>
    <t xml:space="preserve">Habitational &amp; Real Estate</t>
  </si>
  <si>
    <t xml:space="preserve">Apartment insurance</t>
  </si>
  <si>
    <t xml:space="preserve">Property and liability for landlords, apartment complexes and HOAs.</t>
  </si>
  <si>
    <t xml:space="preserve">An apartment owner insures a 200-unit complex.</t>
  </si>
  <si>
    <t xml:space="preserve">Commercial Lines (Business Property &amp; Packages) &gt; Habitational &amp; Real Estate</t>
  </si>
  <si>
    <t xml:space="preserve">commercial.habitational.hoa_master</t>
  </si>
  <si>
    <t xml:space="preserve">Condo / HOA Master Policy</t>
  </si>
  <si>
    <t xml:space="preserve">Association policy</t>
  </si>
  <si>
    <t xml:space="preserve">Covers a condo or HOA's common property, buildings and liability.</t>
  </si>
  <si>
    <t xml:space="preserve">An HOA insures the building shell, lobby and pool.</t>
  </si>
  <si>
    <t xml:space="preserve">Coverage scope ("bare walls" vs "all-in") depends on state law and association documents.</t>
  </si>
  <si>
    <t xml:space="preserve">Commercial Lines (Business Property &amp; Packages) &gt; Habitational &amp; Real Estate &gt; Condo / HOA Master Policy</t>
  </si>
  <si>
    <t xml:space="preserve">commercial.habitational.lessors_risk</t>
  </si>
  <si>
    <t xml:space="preserve">Lessor's Risk Only (LRO)</t>
  </si>
  <si>
    <t xml:space="preserve">Covers a landlord's building and liability when the whole building is leased to tenants.</t>
  </si>
  <si>
    <t xml:space="preserve">An owner of a leased strip mall buys LRO.</t>
  </si>
  <si>
    <t xml:space="preserve">Commercial Lines (Business Property &amp; Packages) &gt; Habitational &amp; Real Estate &gt; Lessor's Risk Only (LRO)</t>
  </si>
  <si>
    <t xml:space="preserve">commercial.habitational.vacant</t>
  </si>
  <si>
    <t xml:space="preserve">Vacant Building</t>
  </si>
  <si>
    <t xml:space="preserve">Cover for buildings that are vacant or unoccupied, which standard policies restrict.</t>
  </si>
  <si>
    <t xml:space="preserve">A bank insures a foreclosed commercial building.</t>
  </si>
  <si>
    <t xml:space="preserve">Standard forms limit cover after 60 days of vacancy.</t>
  </si>
  <si>
    <t xml:space="preserve">Commercial Lines (Business Property &amp; Packages) &gt; Habitational &amp; Real Estate &gt; Vacant Building</t>
  </si>
  <si>
    <t xml:space="preserve">marine</t>
  </si>
  <si>
    <t xml:space="preserve">Marine, Aviation &amp; Transit</t>
  </si>
  <si>
    <t xml:space="preserve">Transportation insurance</t>
  </si>
  <si>
    <t xml:space="preserve">Covers ships, aircraft, satellites and goods while moving, plus related liabilities. In the US, marine is split into ocean marine and inland marine.</t>
  </si>
  <si>
    <t xml:space="preserve">A coffee importer insures a container shipment from Brazil to New Jersey.</t>
  </si>
  <si>
    <t xml:space="preserve">marine.ocean_marine</t>
  </si>
  <si>
    <t xml:space="preserve">Ocean Marine</t>
  </si>
  <si>
    <t xml:space="preserve">Covers vessels, cargo and liabilities connected with shipping by water.</t>
  </si>
  <si>
    <t xml:space="preserve">A shipping line insures its vessels and the cargo they carry.</t>
  </si>
  <si>
    <t xml:space="preserve">Governed by federal admiralty (maritime) law as well as state insurance rules.</t>
  </si>
  <si>
    <t xml:space="preserve">Marine, Aviation &amp; Transit &gt; Ocean Marine</t>
  </si>
  <si>
    <t xml:space="preserve">marine.ocean_marine.cargo</t>
  </si>
  <si>
    <t xml:space="preserve">Ocean Cargo</t>
  </si>
  <si>
    <t xml:space="preserve">Marine cargo; Transit insurance</t>
  </si>
  <si>
    <t xml:space="preserve">Covers goods shipped by sea (and connecting land or air legs) against loss or damage.</t>
  </si>
  <si>
    <t xml:space="preserve">Electronics damaged by seawater in transit are paid for.</t>
  </si>
  <si>
    <t xml:space="preserve">Carrier liability under COGSA is limited to $500 per package, so shippers buy cargo insurance.</t>
  </si>
  <si>
    <t xml:space="preserve">Marine, Aviation &amp; Transit &gt; Ocean Marine &gt; Ocean Cargo</t>
  </si>
  <si>
    <t xml:space="preserve">marine.ocean_marine.cargo.all_risks</t>
  </si>
  <si>
    <t xml:space="preserve">All Risks Cargo</t>
  </si>
  <si>
    <t xml:space="preserve">The broadest cargo terms: covers all physical loss or damage except listed exclusions like poor packing and delay.</t>
  </si>
  <si>
    <t xml:space="preserve">A high-value machinery shipment is insured on all-risks terms.</t>
  </si>
  <si>
    <t xml:space="preserve">Based on American Institute Cargo Clauses.</t>
  </si>
  <si>
    <t xml:space="preserve">Marine, Aviation &amp; Transit &gt; Ocean Marine &gt; Ocean Cargo &gt; All Risks Cargo</t>
  </si>
  <si>
    <t xml:space="preserve">marine.ocean_marine.cargo.with_average</t>
  </si>
  <si>
    <t xml:space="preserve">With Average (WA)</t>
  </si>
  <si>
    <t xml:space="preserve">Named-peril cover that pays partial losses from perils like heavy weather once they exceed a small threshold.</t>
  </si>
  <si>
    <t xml:space="preserve">Bulk steel is insured on WA terms.</t>
  </si>
  <si>
    <t xml:space="preserve">Marine, Aviation &amp; Transit &gt; Ocean Marine &gt; Ocean Cargo &gt; With Average (WA)</t>
  </si>
  <si>
    <t xml:space="preserve">marine.ocean_marine.cargo.fpa</t>
  </si>
  <si>
    <t xml:space="preserve">Free of Particular Average (FPA)</t>
  </si>
  <si>
    <t xml:space="preserve">The narrowest terms: pays total losses and partial losses only from major casualties like sinking, fire or collision.</t>
  </si>
  <si>
    <t xml:space="preserve">Low-value bulk goods are insured FPA.</t>
  </si>
  <si>
    <t xml:space="preserve">Marine, Aviation &amp; Transit &gt; Ocean Marine &gt; Ocean Cargo &gt; Free of Particular Average (FPA)</t>
  </si>
  <si>
    <t xml:space="preserve">marine.ocean_marine.cargo.open_cargo</t>
  </si>
  <si>
    <t xml:space="preserve">Open Cargo Policy</t>
  </si>
  <si>
    <t xml:space="preserve">Open cover</t>
  </si>
  <si>
    <t xml:space="preserve">Automatically covers all shipments over time under agreed terms, with each shipment reported.</t>
  </si>
  <si>
    <t xml:space="preserve">An importer reports each shipment under an annual open policy.</t>
  </si>
  <si>
    <t xml:space="preserve">Marine, Aviation &amp; Transit &gt; Ocean Marine &gt; Ocean Cargo &gt; Open Cargo Policy</t>
  </si>
  <si>
    <t xml:space="preserve">marine.ocean_marine.cargo.stp</t>
  </si>
  <si>
    <t xml:space="preserve">Stock Throughput (STP)</t>
  </si>
  <si>
    <t xml:space="preserve">Covers goods from raw material through storage and transit to final delivery in one policy.</t>
  </si>
  <si>
    <t xml:space="preserve">A retailer's stock is covered from supplier warehouse to store shelf.</t>
  </si>
  <si>
    <t xml:space="preserve">Marine, Aviation &amp; Transit &gt; Ocean Marine &gt; Ocean Cargo &gt; Stock Throughput (STP)</t>
  </si>
  <si>
    <t xml:space="preserve">marine.ocean_marine.hull</t>
  </si>
  <si>
    <t xml:space="preserve">Hull &amp; Machinery (H&amp;M)</t>
  </si>
  <si>
    <t xml:space="preserve">Hull insurance</t>
  </si>
  <si>
    <t xml:space="preserve">Covers physical damage to the ship itself and its machinery.</t>
  </si>
  <si>
    <t xml:space="preserve">A tanker's hull is repaired after a grounding.</t>
  </si>
  <si>
    <t xml:space="preserve">Often written on American Institute Hull Clauses.</t>
  </si>
  <si>
    <t xml:space="preserve">Marine, Aviation &amp; Transit &gt; Ocean Marine &gt; Hull &amp; Machinery (H&amp;M)</t>
  </si>
  <si>
    <t xml:space="preserve">marine.ocean_marine.hull.blue_water</t>
  </si>
  <si>
    <t xml:space="preserve">Blue-Water Hull</t>
  </si>
  <si>
    <t xml:space="preserve">Ocean hull</t>
  </si>
  <si>
    <t xml:space="preserve">Hull cover for ocean-going ships.</t>
  </si>
  <si>
    <t xml:space="preserve">A container ship owner insures its fleet.</t>
  </si>
  <si>
    <t xml:space="preserve">Marine, Aviation &amp; Transit &gt; Ocean Marine &gt; Hull &amp; Machinery (H&amp;M) &gt; Blue-Water Hull</t>
  </si>
  <si>
    <t xml:space="preserve">marine.ocean_marine.hull.brown_water</t>
  </si>
  <si>
    <t xml:space="preserve">Brown-Water Hull</t>
  </si>
  <si>
    <t xml:space="preserve">Inland waterways hull</t>
  </si>
  <si>
    <t xml:space="preserve">Hull cover for barges, tugs and towboats on rivers and coastal waters.</t>
  </si>
  <si>
    <t xml:space="preserve">A Mississippi River towboat operator insures its fleet.</t>
  </si>
  <si>
    <t xml:space="preserve">Marine, Aviation &amp; Transit &gt; Ocean Marine &gt; Hull &amp; Machinery (H&amp;M) &gt; Brown-Water Hull</t>
  </si>
  <si>
    <t xml:space="preserve">marine.ocean_marine.hull.war_risks</t>
  </si>
  <si>
    <t xml:space="preserve">Marine War Risks</t>
  </si>
  <si>
    <t xml:space="preserve">Covers ships and cargo against war, strikes, terrorism and piracy excluded by standard hull and cargo terms.</t>
  </si>
  <si>
    <t xml:space="preserve">A ship passing through a conflict zone buys extra war cover.</t>
  </si>
  <si>
    <t xml:space="preserve">Marine, Aviation &amp; Transit &gt; Ocean Marine &gt; Hull &amp; Machinery (H&amp;M) &gt; Marine War Risks</t>
  </si>
  <si>
    <t xml:space="preserve">marine.ocean_marine.hull.builders_risk_marine</t>
  </si>
  <si>
    <t xml:space="preserve">Shipbuilders' Risk</t>
  </si>
  <si>
    <t xml:space="preserve">Covers ships while being built or repaired at a shipyard.</t>
  </si>
  <si>
    <t xml:space="preserve">A shipyard insures a ferry under construction.</t>
  </si>
  <si>
    <t xml:space="preserve">Marine, Aviation &amp; Transit &gt; Ocean Marine &gt; Hull &amp; Machinery (H&amp;M) &gt; Shipbuilders' Risk</t>
  </si>
  <si>
    <t xml:space="preserve">marine.ocean_marine.marine_liability</t>
  </si>
  <si>
    <t xml:space="preserve">Marine Liability</t>
  </si>
  <si>
    <t xml:space="preserve">Covers liabilities from vessel operations and waterfront businesses.</t>
  </si>
  <si>
    <t xml:space="preserve">A shipowner is liable for an oil spill.</t>
  </si>
  <si>
    <t xml:space="preserve">Marine, Aviation &amp; Transit &gt; Ocean Marine &gt; Marine Liability</t>
  </si>
  <si>
    <t xml:space="preserve">marine.ocean_marine.marine_liability.p_and_i</t>
  </si>
  <si>
    <t xml:space="preserve">Protection &amp; Indemnity (P&amp;I)</t>
  </si>
  <si>
    <t xml:space="preserve">P&amp;I club cover</t>
  </si>
  <si>
    <t xml:space="preserve">Covers shipowners' third-party liabilities such as crew injury, cargo damage, pollution and wreck removal, often through mutual P&amp;I clubs.</t>
  </si>
  <si>
    <t xml:space="preserve">A shipowner's P&amp;I pays for cleaning up a fuel spill.</t>
  </si>
  <si>
    <t xml:space="preserve">Vessels in US waters must show financial responsibility under the Oil Pollution Act of 1990 (OPA 90).</t>
  </si>
  <si>
    <t xml:space="preserve">Marine, Aviation &amp; Transit &gt; Ocean Marine &gt; Marine Liability &gt; Protection &amp; Indemnity (P&amp;I)</t>
  </si>
  <si>
    <t xml:space="preserve">marine.ocean_marine.marine_liability.mel</t>
  </si>
  <si>
    <t xml:space="preserve">Maritime Employers Liability (MEL)</t>
  </si>
  <si>
    <t xml:space="preserve">Covers employers of seamen for injury claims under the Jones Act and general maritime law.</t>
  </si>
  <si>
    <t xml:space="preserve">A deckhand injured on a crew boat sues his employer.</t>
  </si>
  <si>
    <t xml:space="preserve">Marine, Aviation &amp; Transit &gt; Ocean Marine &gt; Marine Liability &gt; Maritime Employers Liability (MEL)</t>
  </si>
  <si>
    <t xml:space="preserve">marine.ocean_marine.marine_liability.charterers</t>
  </si>
  <si>
    <t xml:space="preserve">Charterer's Liability</t>
  </si>
  <si>
    <t xml:space="preserve">Covers companies that charter ships against liabilities to the owner and others.</t>
  </si>
  <si>
    <t xml:space="preserve">A charterer loads an unsafe cargo that damages the ship.</t>
  </si>
  <si>
    <t xml:space="preserve">Marine, Aviation &amp; Transit &gt; Ocean Marine &gt; Marine Liability &gt; Charterer's Liability</t>
  </si>
  <si>
    <t xml:space="preserve">marine.ocean_marine.marine_liability.marine_terminal</t>
  </si>
  <si>
    <t xml:space="preserve">Marine Terminal Operators Liability</t>
  </si>
  <si>
    <t xml:space="preserve">Wharfinger's liability</t>
  </si>
  <si>
    <t xml:space="preserve">Covers port and terminal operators against damage to ships, cargo and people.</t>
  </si>
  <si>
    <t xml:space="preserve">A terminal crane drops a container onto a ship.</t>
  </si>
  <si>
    <t xml:space="preserve">Marine, Aviation &amp; Transit &gt; Ocean Marine &gt; Marine Liability &gt; Marine Terminal Operators Liability</t>
  </si>
  <si>
    <t xml:space="preserve">marine.ocean_marine.marine_liability.ship_repairers</t>
  </si>
  <si>
    <t xml:space="preserve">Ship Repairers Liability</t>
  </si>
  <si>
    <t xml:space="preserve">Covers shipyards for damage to vessels in their care.</t>
  </si>
  <si>
    <t xml:space="preserve">A vessel catches fire while in dry dock.</t>
  </si>
  <si>
    <t xml:space="preserve">Marine, Aviation &amp; Transit &gt; Ocean Marine &gt; Marine Liability &gt; Ship Repairers Liability</t>
  </si>
  <si>
    <t xml:space="preserve">marine.ocean_marine.recreational_marine</t>
  </si>
  <si>
    <t xml:space="preserve">Yacht &amp; Boat Insurance</t>
  </si>
  <si>
    <t xml:space="preserve">Watercraft insurance</t>
  </si>
  <si>
    <t xml:space="preserve">Covers private boats and yachts for damage, theft and liability.</t>
  </si>
  <si>
    <t xml:space="preserve">A sailor insures a 40-foot yacht.</t>
  </si>
  <si>
    <t xml:space="preserve">Marinas and lenders usually require liability cover. Some states (e.g. Utah) require boat liability insurance.</t>
  </si>
  <si>
    <t xml:space="preserve">Marine, Aviation &amp; Transit &gt; Ocean Marine &gt; Yacht &amp; Boat Insurance</t>
  </si>
  <si>
    <t xml:space="preserve">marine.inland_marine</t>
  </si>
  <si>
    <t xml:space="preserve">Inland Marine</t>
  </si>
  <si>
    <t xml:space="preserve">Floaters</t>
  </si>
  <si>
    <t xml:space="preserve">A US-specific class covering property in transit over land, movable property, and "instrumentalities of transportation" such as bridges and pipelines.</t>
  </si>
  <si>
    <t xml:space="preserve">A contractor insures tools that move between job sites.</t>
  </si>
  <si>
    <t xml:space="preserve">Defined by the NAIC Nationwide Marine Definition; many inland marine forms are unfiled, giving flexibility.</t>
  </si>
  <si>
    <t xml:space="preserve">Marine, Aviation &amp; Transit &gt; Inland Marine</t>
  </si>
  <si>
    <t xml:space="preserve">marine.inland_marine.contractors_equipment</t>
  </si>
  <si>
    <t xml:space="preserve">Contractor's Equipment Floater</t>
  </si>
  <si>
    <t xml:space="preserve">Covers mobile construction equipment wherever it is.</t>
  </si>
  <si>
    <t xml:space="preserve">A stolen skid-steer loader is replaced.</t>
  </si>
  <si>
    <t xml:space="preserve">Marine, Aviation &amp; Transit &gt; Inland Marine &gt; Contractor's Equipment Floater</t>
  </si>
  <si>
    <t xml:space="preserve">marine.inland_marine.installation_floater</t>
  </si>
  <si>
    <t xml:space="preserve">Installation Floater</t>
  </si>
  <si>
    <t xml:space="preserve">Covers materials being installed at a job site until the job is accepted.</t>
  </si>
  <si>
    <t xml:space="preserve">HVAC units awaiting installation are stolen from a site.</t>
  </si>
  <si>
    <t xml:space="preserve">Marine, Aviation &amp; Transit &gt; Inland Marine &gt; Installation Floater</t>
  </si>
  <si>
    <t xml:space="preserve">marine.inland_marine.transit</t>
  </si>
  <si>
    <t xml:space="preserve">Transit Coverage</t>
  </si>
  <si>
    <t xml:space="preserve">Transportation floater</t>
  </si>
  <si>
    <t xml:space="preserve">Covers the insured's own goods while transported by its own trucks or by carriers.</t>
  </si>
  <si>
    <t xml:space="preserve">A manufacturer's goods are damaged on its own truck.</t>
  </si>
  <si>
    <t xml:space="preserve">Marine, Aviation &amp; Transit &gt; Inland Marine &gt; Transit Coverage</t>
  </si>
  <si>
    <t xml:space="preserve">marine.inland_marine.bailee</t>
  </si>
  <si>
    <t xml:space="preserve">Bailee's Customers</t>
  </si>
  <si>
    <t xml:space="preserve">Covers customers' property held by a business, such as a dry cleaner or repair shop.</t>
  </si>
  <si>
    <t xml:space="preserve">A fire at a dry cleaner destroys customers' clothes.</t>
  </si>
  <si>
    <t xml:space="preserve">Marine, Aviation &amp; Transit &gt; Inland Marine &gt; Bailee's Customers</t>
  </si>
  <si>
    <t xml:space="preserve">marine.inland_marine.edp</t>
  </si>
  <si>
    <t xml:space="preserve">Electronic Data Processing (EDP)</t>
  </si>
  <si>
    <t xml:space="preserve">Computer equipment floater</t>
  </si>
  <si>
    <t xml:space="preserve">Covers computers, servers and media, including breakdown and data restoration.</t>
  </si>
  <si>
    <t xml:space="preserve">A power surge fries a firm's servers.</t>
  </si>
  <si>
    <t xml:space="preserve">Marine, Aviation &amp; Transit &gt; Inland Marine &gt; Electronic Data Processing (EDP)</t>
  </si>
  <si>
    <t xml:space="preserve">marine.inland_marine.accounts_receivable</t>
  </si>
  <si>
    <t xml:space="preserve">Accounts Receivable</t>
  </si>
  <si>
    <t xml:space="preserve">Pays amounts you can't collect because records of who owes you were destroyed.</t>
  </si>
  <si>
    <t xml:space="preserve">A fire destroys billing records and unpaid invoices are covered.</t>
  </si>
  <si>
    <t xml:space="preserve">Marine, Aviation &amp; Transit &gt; Inland Marine &gt; Accounts Receivable</t>
  </si>
  <si>
    <t xml:space="preserve">marine.inland_marine.valuable_papers</t>
  </si>
  <si>
    <t xml:space="preserve">Valuable Papers &amp; Records</t>
  </si>
  <si>
    <t xml:space="preserve">Pays to restore important documents like blueprints and legal papers.</t>
  </si>
  <si>
    <t xml:space="preserve">An architect's plans are destroyed in a flood.</t>
  </si>
  <si>
    <t xml:space="preserve">Marine, Aviation &amp; Transit &gt; Inland Marine &gt; Valuable Papers &amp; Records</t>
  </si>
  <si>
    <t xml:space="preserve">marine.inland_marine.jewelers_block</t>
  </si>
  <si>
    <t xml:space="preserve">Jewelers Block</t>
  </si>
  <si>
    <t xml:space="preserve">Open-peril cover for jewelry retailers' and wholesalers' stock, including customers' items.</t>
  </si>
  <si>
    <t xml:space="preserve">A jewelry store's safe is burglarized.</t>
  </si>
  <si>
    <t xml:space="preserve">Marine, Aviation &amp; Transit &gt; Inland Marine &gt; Jewelers Block</t>
  </si>
  <si>
    <t xml:space="preserve">marine.inland_marine.fine_arts_commercial</t>
  </si>
  <si>
    <t xml:space="preserve">Fine Arts (Commercial)</t>
  </si>
  <si>
    <t xml:space="preserve">Museum and gallery cover</t>
  </si>
  <si>
    <t xml:space="preserve">Covers artworks owned or held by galleries, museums and dealers, including in transit.</t>
  </si>
  <si>
    <t xml:space="preserve">A painting lent to a museum is damaged in transit.</t>
  </si>
  <si>
    <t xml:space="preserve">Marine, Aviation &amp; Transit &gt; Inland Marine &gt; Fine Arts (Commercial)</t>
  </si>
  <si>
    <t xml:space="preserve">marine.inland_marine.signs</t>
  </si>
  <si>
    <t xml:space="preserve">Signs Coverage</t>
  </si>
  <si>
    <t xml:space="preserve">Covers outdoor signs against damage.</t>
  </si>
  <si>
    <t xml:space="preserve">A storm destroys a restaurant's roadside sign.</t>
  </si>
  <si>
    <t xml:space="preserve">Marine, Aviation &amp; Transit &gt; Inland Marine &gt; Signs Coverage</t>
  </si>
  <si>
    <t xml:space="preserve">marine.inland_marine.instrumentalities</t>
  </si>
  <si>
    <t xml:space="preserve">Instrumentalities of Transportation</t>
  </si>
  <si>
    <t xml:space="preserve">Bridges, tunnels and pipelines</t>
  </si>
  <si>
    <t xml:space="preserve">Covers fixed property used in transportation and communication, such as bridges, tunnels, pipelines and cell towers.</t>
  </si>
  <si>
    <t xml:space="preserve">A toll bridge authority insures its bridge.</t>
  </si>
  <si>
    <t xml:space="preserve">Marine, Aviation &amp; Transit &gt; Inland Marine &gt; Instrumentalities of Transportation</t>
  </si>
  <si>
    <t xml:space="preserve">marine.aviation</t>
  </si>
  <si>
    <t xml:space="preserve">Aviation Insurance</t>
  </si>
  <si>
    <t xml:space="preserve">Covers aircraft, airports and aviation businesses against physical damage and liability.</t>
  </si>
  <si>
    <t xml:space="preserve">An airline insures its fleet against crashes and passenger claims.</t>
  </si>
  <si>
    <t xml:space="preserve">FAA and DOT set some financial responsibility rules (e.g. for air carriers).</t>
  </si>
  <si>
    <t xml:space="preserve">Marine, Aviation &amp; Transit &gt; Aviation Insurance</t>
  </si>
  <si>
    <t xml:space="preserve">marine.aviation.aviation_hull</t>
  </si>
  <si>
    <t xml:space="preserve">Aircraft Hull</t>
  </si>
  <si>
    <t xml:space="preserve">Covers physical damage to the aircraft, on the ground or in flight.</t>
  </si>
  <si>
    <t xml:space="preserve">A plane damaged in a hard landing is repaired.</t>
  </si>
  <si>
    <t xml:space="preserve">Marine, Aviation &amp; Transit &gt; Aviation Insurance &gt; Aircraft Hull</t>
  </si>
  <si>
    <t xml:space="preserve">marine.aviation.aviation_liability</t>
  </si>
  <si>
    <t xml:space="preserve">Aircraft Liability</t>
  </si>
  <si>
    <t xml:space="preserve">Passenger and third-party liability</t>
  </si>
  <si>
    <t xml:space="preserve">Covers liability to passengers and people or property on the ground.</t>
  </si>
  <si>
    <t xml:space="preserve">An airline pays compensation to injured passengers.</t>
  </si>
  <si>
    <t xml:space="preserve">International flights are subject to the Montreal Convention liability rules.</t>
  </si>
  <si>
    <t xml:space="preserve">Marine, Aviation &amp; Transit &gt; Aviation Insurance &gt; Aircraft Liability</t>
  </si>
  <si>
    <t xml:space="preserve">marine.aviation.airport_liability</t>
  </si>
  <si>
    <t xml:space="preserve">Airport &amp; Ground Handler Liability</t>
  </si>
  <si>
    <t xml:space="preserve">Premises liability (aviation)</t>
  </si>
  <si>
    <t xml:space="preserve">Covers airports, FBOs and ground handlers against third-party claims.</t>
  </si>
  <si>
    <t xml:space="preserve">A baggage vehicle damages a parked aircraft.</t>
  </si>
  <si>
    <t xml:space="preserve">Marine, Aviation &amp; Transit &gt; Aviation Insurance &gt; Airport &amp; Ground Handler Liability</t>
  </si>
  <si>
    <t xml:space="preserve">marine.aviation.aviation_products</t>
  </si>
  <si>
    <t xml:space="preserve">Aviation Products Liability</t>
  </si>
  <si>
    <t xml:space="preserve">Covers manufacturers of aircraft and parts against liability for defects.</t>
  </si>
  <si>
    <t xml:space="preserve">A parts maker is sued after an engine component fails.</t>
  </si>
  <si>
    <t xml:space="preserve">Marine, Aviation &amp; Transit &gt; Aviation Insurance &gt; Aviation Products Liability</t>
  </si>
  <si>
    <t xml:space="preserve">marine.aviation.general_aviation</t>
  </si>
  <si>
    <t xml:space="preserve">General Aviation</t>
  </si>
  <si>
    <t xml:space="preserve">Private aircraft insurance</t>
  </si>
  <si>
    <t xml:space="preserve">Covers privately owned planes, flight schools and small charter operators.</t>
  </si>
  <si>
    <t xml:space="preserve">A private pilot insures a Cessna 172.</t>
  </si>
  <si>
    <t xml:space="preserve">Marine, Aviation &amp; Transit &gt; Aviation Insurance &gt; General Aviation</t>
  </si>
  <si>
    <t xml:space="preserve">marine.aviation.non_owned_aircraft</t>
  </si>
  <si>
    <t xml:space="preserve">Non-Owned Aircraft Liability</t>
  </si>
  <si>
    <t xml:space="preserve">Renter pilot insurance</t>
  </si>
  <si>
    <t xml:space="preserve">Covers pilots who rent or borrow aircraft.</t>
  </si>
  <si>
    <t xml:space="preserve">A student pilot renting a plane buys renter's cover.</t>
  </si>
  <si>
    <t xml:space="preserve">Marine, Aviation &amp; Transit &gt; Aviation Insurance &gt; Non-Owned Aircraft Liability</t>
  </si>
  <si>
    <t xml:space="preserve">marine.aviation.drone</t>
  </si>
  <si>
    <t xml:space="preserve">Drone (UAS) Insurance</t>
  </si>
  <si>
    <t xml:space="preserve">Covers drones against damage and liability to others.</t>
  </si>
  <si>
    <t xml:space="preserve">A real estate photographer insures a camera drone.</t>
  </si>
  <si>
    <t xml:space="preserve">Commercial drone pilots need FAA Part 107 certification; insurance is not federally required but is often required by clients.</t>
  </si>
  <si>
    <t xml:space="preserve">Marine, Aviation &amp; Transit &gt; Aviation Insurance &gt; Drone (UAS) Insurance</t>
  </si>
  <si>
    <t xml:space="preserve">marine.space</t>
  </si>
  <si>
    <t xml:space="preserve">Space Insurance</t>
  </si>
  <si>
    <t xml:space="preserve">Satellite insurance</t>
  </si>
  <si>
    <t xml:space="preserve">Covers satellites and launch vehicles during launch and in orbit, plus third-party liability.</t>
  </si>
  <si>
    <t xml:space="preserve">A telecom company insures a satellite launch.</t>
  </si>
  <si>
    <t xml:space="preserve">Marine, Aviation &amp; Transit &gt; Space Insurance</t>
  </si>
  <si>
    <t xml:space="preserve">marine.space.launch</t>
  </si>
  <si>
    <t xml:space="preserve">Launch Insurance</t>
  </si>
  <si>
    <t xml:space="preserve">Covers loss or failure of a satellite during launch and early operation.</t>
  </si>
  <si>
    <t xml:space="preserve">A rocket failure destroys a satellite and the insurer pays.</t>
  </si>
  <si>
    <t xml:space="preserve">Marine, Aviation &amp; Transit &gt; Space Insurance &gt; Launch Insurance</t>
  </si>
  <si>
    <t xml:space="preserve">marine.space.in_orbit</t>
  </si>
  <si>
    <t xml:space="preserve">In-Orbit Insurance</t>
  </si>
  <si>
    <t xml:space="preserve">Covers satellites against failure once operating in space.</t>
  </si>
  <si>
    <t xml:space="preserve">A satellite's solar panel fails and lost capacity is paid.</t>
  </si>
  <si>
    <t xml:space="preserve">Marine, Aviation &amp; Transit &gt; Space Insurance &gt; In-Orbit Insurance</t>
  </si>
  <si>
    <t xml:space="preserve">marine.space.launch_liability</t>
  </si>
  <si>
    <t xml:space="preserve">Launch Third-Party Liability</t>
  </si>
  <si>
    <t xml:space="preserve">Covers damage caused by launches to people and property on the ground.</t>
  </si>
  <si>
    <t xml:space="preserve">A launch operator buys liability cover required for its license.</t>
  </si>
  <si>
    <t xml:space="preserve">FAA licensing requires "maximum probable loss" liability cover, with a federal indemnification backstop above it under the Commercial Space Launch Act.</t>
  </si>
  <si>
    <t xml:space="preserve">Marine, Aviation &amp; Transit &gt; Space Insurance &gt; Launch Third-Party Liability</t>
  </si>
  <si>
    <t xml:space="preserve">specialty</t>
  </si>
  <si>
    <t xml:space="preserve">Specialty Insurance</t>
  </si>
  <si>
    <t xml:space="preserve">Specialty lines</t>
  </si>
  <si>
    <t xml:space="preserve">Covers unusual, complex or modern risks that standard policies exclude. Many are written in the excess and surplus (E&amp;S) market or at Lloyd's.</t>
  </si>
  <si>
    <t xml:space="preserve">A tech firm buys cyber cover; a film studio insures a shoot.</t>
  </si>
  <si>
    <t xml:space="preserve">E&amp;S (non-admitted) insurers can write risks admitted carriers decline; they aren't backed by state guaranty funds and buyers pay a surplus lines tax.</t>
  </si>
  <si>
    <t xml:space="preserve">specialty.cyber</t>
  </si>
  <si>
    <t xml:space="preserve">Cyber Insurance</t>
  </si>
  <si>
    <t xml:space="preserve">Cyber liability; Cyber risk</t>
  </si>
  <si>
    <t xml:space="preserve">Covers losses and liabilities from data breaches, hacking, ransomware and IT failures.</t>
  </si>
  <si>
    <t xml:space="preserve">A clinic hit by ransomware gets help restoring systems and notifying patients.</t>
  </si>
  <si>
    <t xml:space="preserve">All 50 states have data breach notification laws; SEC rules (2023) require public companies to disclose material cyber incidents.</t>
  </si>
  <si>
    <t xml:space="preserve">Specialty Insurance &gt; Cyber Insurance</t>
  </si>
  <si>
    <t xml:space="preserve">specialty.cyber.cyber_first_party</t>
  </si>
  <si>
    <t xml:space="preserve">Cyber First-Party Coverage</t>
  </si>
  <si>
    <t xml:space="preserve">Pays your own costs after a cyber incident.</t>
  </si>
  <si>
    <t xml:space="preserve">A retailer's costs to investigate a breach are paid.</t>
  </si>
  <si>
    <t xml:space="preserve">Specialty Insurance &gt; Cyber Insurance &gt; Cyber First-Party Coverage</t>
  </si>
  <si>
    <t xml:space="preserve">specialty.cyber.cyber_first_party.incident_response</t>
  </si>
  <si>
    <t xml:space="preserve">Breach Response &amp; Forensics</t>
  </si>
  <si>
    <t xml:space="preserve">Incident response</t>
  </si>
  <si>
    <t xml:space="preserve">Pays for forensic experts, breach lawyers, notification letters, credit monitoring and PR.</t>
  </si>
  <si>
    <t xml:space="preserve">Investigators find how hackers got in and customers are notified.</t>
  </si>
  <si>
    <t xml:space="preserve">Specialty Insurance &gt; Cyber Insurance &gt; Cyber First-Party Coverage &gt; Breach Response &amp; Forensics</t>
  </si>
  <si>
    <t xml:space="preserve">specialty.cyber.cyber_first_party.cyber_extortion</t>
  </si>
  <si>
    <t xml:space="preserve">Cyber Extortion / Ransomware</t>
  </si>
  <si>
    <t xml:space="preserve">Covers ransom demands (where legal) and negotiation costs.</t>
  </si>
  <si>
    <t xml:space="preserve">A firm's data is encrypted and negotiators are hired.</t>
  </si>
  <si>
    <t xml:space="preserve">Payments to sanctioned groups are barred by OFAC (Treasury) rules.</t>
  </si>
  <si>
    <t xml:space="preserve">Specialty Insurance &gt; Cyber Insurance &gt; Cyber First-Party Coverage &gt; Cyber Extortion / Ransomware</t>
  </si>
  <si>
    <t xml:space="preserve">specialty.cyber.cyber_first_party.cyber_bi</t>
  </si>
  <si>
    <t xml:space="preserve">Network Business Interruption</t>
  </si>
  <si>
    <t xml:space="preserve">Cyber BI</t>
  </si>
  <si>
    <t xml:space="preserve">Covers lost income while systems are down after an attack or, if included, a system failure.</t>
  </si>
  <si>
    <t xml:space="preserve">An online shop loses 3 days of sales during an attack.</t>
  </si>
  <si>
    <t xml:space="preserve">Specialty Insurance &gt; Cyber Insurance &gt; Cyber First-Party Coverage &gt; Network Business Interruption</t>
  </si>
  <si>
    <t xml:space="preserve">specialty.cyber.cyber_first_party.contingent_cyber_bi</t>
  </si>
  <si>
    <t xml:space="preserve">Dependent (Contingent) Cyber BI</t>
  </si>
  <si>
    <t xml:space="preserve">Covers lost income when a vendor or cloud provider you rely on suffers an outage or attack.</t>
  </si>
  <si>
    <t xml:space="preserve">A pharmacy chain loses sales when its claims processor is hacked.</t>
  </si>
  <si>
    <t xml:space="preserve">Specialty Insurance &gt; Cyber Insurance &gt; Cyber First-Party Coverage &gt; Dependent (Contingent) Cyber BI</t>
  </si>
  <si>
    <t xml:space="preserve">specialty.cyber.cyber_first_party.data_restoration</t>
  </si>
  <si>
    <t xml:space="preserve">Data Restoration</t>
  </si>
  <si>
    <t xml:space="preserve">Digital asset restoration</t>
  </si>
  <si>
    <t xml:space="preserve">Pays to recover or recreate damaged data and software.</t>
  </si>
  <si>
    <t xml:space="preserve">A firm rebuilds its database after malware deletes it.</t>
  </si>
  <si>
    <t xml:space="preserve">Specialty Insurance &gt; Cyber Insurance &gt; Cyber First-Party Coverage &gt; Data Restoration</t>
  </si>
  <si>
    <t xml:space="preserve">specialty.cyber.cyber_first_party.social_engineering</t>
  </si>
  <si>
    <t xml:space="preserve">Social Engineering / Funds Transfer Fraud</t>
  </si>
  <si>
    <t xml:space="preserve">Covers money lost when employees are tricked into wiring funds to criminals, such as in business email compromise.</t>
  </si>
  <si>
    <t xml:space="preserve">An accounts clerk pays a fake invoice from a spoofed vendor email.</t>
  </si>
  <si>
    <t xml:space="preserve">Often sub-limited; may also sit in a crime policy.</t>
  </si>
  <si>
    <t xml:space="preserve">Specialty Insurance &gt; Cyber Insurance &gt; Cyber First-Party Coverage &gt; Social Engineering / Funds Transfer Fraud</t>
  </si>
  <si>
    <t xml:space="preserve">specialty.cyber.cyber_third_party</t>
  </si>
  <si>
    <t xml:space="preserve">Cyber Third-Party Liability</t>
  </si>
  <si>
    <t xml:space="preserve">Covers claims from others harmed by your cyber incident.</t>
  </si>
  <si>
    <t xml:space="preserve">Customers sue a company after their card details leak.</t>
  </si>
  <si>
    <t xml:space="preserve">Specialty Insurance &gt; Cyber Insurance &gt; Cyber Third-Party Liability</t>
  </si>
  <si>
    <t xml:space="preserve">specialty.cyber.cyber_third_party.privacy_liability</t>
  </si>
  <si>
    <t xml:space="preserve">Privacy &amp; Network Security Liability</t>
  </si>
  <si>
    <t xml:space="preserve">Covers lawsuits for failing to protect data or for passing malware to others.</t>
  </si>
  <si>
    <t xml:space="preserve">Patients whose records leaked file a class action.</t>
  </si>
  <si>
    <t xml:space="preserve">Exposure driven by laws like HIPAA, CCPA/CPRA (California) and BIPA (Illinois biometrics).</t>
  </si>
  <si>
    <t xml:space="preserve">Specialty Insurance &gt; Cyber Insurance &gt; Cyber Third-Party Liability &gt; Privacy &amp; Network Security Liability</t>
  </si>
  <si>
    <t xml:space="preserve">specialty.cyber.cyber_third_party.regulatory</t>
  </si>
  <si>
    <t xml:space="preserve">Regulatory Defense &amp; Penalties</t>
  </si>
  <si>
    <t xml:space="preserve">Covers regulatory investigations and fines where insurable by law.</t>
  </si>
  <si>
    <t xml:space="preserve">A company is investigated by a state attorney general after a breach.</t>
  </si>
  <si>
    <t xml:space="preserve">Insurability of fines varies by state.</t>
  </si>
  <si>
    <t xml:space="preserve">Specialty Insurance &gt; Cyber Insurance &gt; Cyber Third-Party Liability &gt; Regulatory Defense &amp; Penalties</t>
  </si>
  <si>
    <t xml:space="preserve">specialty.cyber.cyber_third_party.media_liability</t>
  </si>
  <si>
    <t xml:space="preserve">Media Liability</t>
  </si>
  <si>
    <t xml:space="preserve">Covers claims of defamation, privacy invasion or IP infringement from online content.</t>
  </si>
  <si>
    <t xml:space="preserve">A blog post leads to a defamation claim.</t>
  </si>
  <si>
    <t xml:space="preserve">Specialty Insurance &gt; Cyber Insurance &gt; Cyber Third-Party Liability &gt; Media Liability</t>
  </si>
  <si>
    <t xml:space="preserve">specialty.cyber.cyber_third_party.pci</t>
  </si>
  <si>
    <t xml:space="preserve">PCI-DSS Fines &amp; Assessments</t>
  </si>
  <si>
    <t xml:space="preserve">Covers card brand fines and assessments after a payment card breach.</t>
  </si>
  <si>
    <t xml:space="preserve">A merchant is charged by card brands after a breach.</t>
  </si>
  <si>
    <t xml:space="preserve">Specialty Insurance &gt; Cyber Insurance &gt; Cyber Third-Party Liability &gt; PCI-DSS Fines &amp; Assessments</t>
  </si>
  <si>
    <t xml:space="preserve">specialty.cyber.personal_cyber</t>
  </si>
  <si>
    <t xml:space="preserve">Personal Cyber / Identity Theft</t>
  </si>
  <si>
    <t xml:space="preserve">Identity theft insurance</t>
  </si>
  <si>
    <t xml:space="preserve">Covers individuals for identity restoration, online fraud and cyberbullying costs.</t>
  </si>
  <si>
    <t xml:space="preserve">A person's identity is stolen and the policy pays to restore credit.</t>
  </si>
  <si>
    <t xml:space="preserve">Often an endorsement to homeowners policies.</t>
  </si>
  <si>
    <t xml:space="preserve">Specialty Insurance &gt; Cyber Insurance &gt; Personal Cyber / Identity Theft</t>
  </si>
  <si>
    <t xml:space="preserve">specialty.professional_liability</t>
  </si>
  <si>
    <t xml:space="preserve">Professional Liability (E&amp;O)</t>
  </si>
  <si>
    <t xml:space="preserve">Errors &amp; omissions; Malpractice</t>
  </si>
  <si>
    <t xml:space="preserve">Covers professionals when a client claims their advice or service was negligent and caused financial loss or injury.</t>
  </si>
  <si>
    <t xml:space="preserve">An accountant is sued after a tax filing mistake costs a client money.</t>
  </si>
  <si>
    <t xml:space="preserve">Usually written on a claims-made basis.</t>
  </si>
  <si>
    <t xml:space="preserve">Specialty Insurance &gt; Professional Liability (E&amp;O)</t>
  </si>
  <si>
    <t xml:space="preserve">specialty.professional_liability.medical_malpractice</t>
  </si>
  <si>
    <t xml:space="preserve">Medical Malpractice</t>
  </si>
  <si>
    <t xml:space="preserve">Medical professional liability (MPL)</t>
  </si>
  <si>
    <t xml:space="preserve">Covers doctors, nurses and hospitals against claims of negligent treatment.</t>
  </si>
  <si>
    <t xml:space="preserve">A surgeon is sued after a complication.</t>
  </si>
  <si>
    <t xml:space="preserve">Some states require it for licensure or patient compensation funds; many states cap non-economic damages.</t>
  </si>
  <si>
    <t xml:space="preserve">Specialty Insurance &gt; Professional Liability (E&amp;O) &gt; Medical Malpractice</t>
  </si>
  <si>
    <t xml:space="preserve">specialty.professional_liability.medical_malpractice.physicians</t>
  </si>
  <si>
    <t xml:space="preserve">Physicians &amp; Surgeons</t>
  </si>
  <si>
    <t xml:space="preserve">Individual or group cover for doctors.</t>
  </si>
  <si>
    <t xml:space="preserve">An OB-GYN buys cover with $1M/$3M limits.</t>
  </si>
  <si>
    <t xml:space="preserve">Specialty Insurance &gt; Professional Liability (E&amp;O) &gt; Medical Malpractice &gt; Physicians &amp; Surgeons</t>
  </si>
  <si>
    <t xml:space="preserve">specialty.professional_liability.medical_malpractice.hospital_pl</t>
  </si>
  <si>
    <t xml:space="preserve">Hospital Professional Liability</t>
  </si>
  <si>
    <t xml:space="preserve">Covers hospitals and health systems for patient care claims.</t>
  </si>
  <si>
    <t xml:space="preserve">A hospital is sued after a medication error.</t>
  </si>
  <si>
    <t xml:space="preserve">Specialty Insurance &gt; Professional Liability (E&amp;O) &gt; Medical Malpractice &gt; Hospital Professional Liability</t>
  </si>
  <si>
    <t xml:space="preserve">specialty.professional_liability.medical_malpractice.allied_health</t>
  </si>
  <si>
    <t xml:space="preserve">Allied Health / Nurses</t>
  </si>
  <si>
    <t xml:space="preserve">Covers nurses, therapists, pharmacists and other health workers.</t>
  </si>
  <si>
    <t xml:space="preserve">A physical therapist is sued for a patient's injury.</t>
  </si>
  <si>
    <t xml:space="preserve">Specialty Insurance &gt; Professional Liability (E&amp;O) &gt; Medical Malpractice &gt; Allied Health / Nurses</t>
  </si>
  <si>
    <t xml:space="preserve">specialty.professional_liability.medical_malpractice.tail</t>
  </si>
  <si>
    <t xml:space="preserve">Tail Coverage (ERP)</t>
  </si>
  <si>
    <t xml:space="preserve">Extended reporting period</t>
  </si>
  <si>
    <t xml:space="preserve">Extends a claims-made policy's reporting window after it ends, such as when a doctor retires or changes jobs.</t>
  </si>
  <si>
    <t xml:space="preserve">A retiring doctor buys tail cover for claims filed later.</t>
  </si>
  <si>
    <t xml:space="preserve">Specialty Insurance &gt; Professional Liability (E&amp;O) &gt; Medical Malpractice &gt; Tail Coverage (ERP)</t>
  </si>
  <si>
    <t xml:space="preserve">specialty.professional_liability.lawyers_pl</t>
  </si>
  <si>
    <t xml:space="preserve">Lawyers Professional Liability (LPL)</t>
  </si>
  <si>
    <t xml:space="preserve">Legal malpractice</t>
  </si>
  <si>
    <t xml:space="preserve">Covers lawyers against claims of negligent legal work.</t>
  </si>
  <si>
    <t xml:space="preserve">A lawyer misses a filing deadline and the client sues.</t>
  </si>
  <si>
    <t xml:space="preserve">Oregon requires it for lawyers (through the Oregon State Bar PLF); most states require disclosure of whether lawyers carry it.</t>
  </si>
  <si>
    <t xml:space="preserve">Specialty Insurance &gt; Professional Liability (E&amp;O) &gt; Lawyers Professional Liability (LPL)</t>
  </si>
  <si>
    <t xml:space="preserve">specialty.professional_liability.architects_engineers</t>
  </si>
  <si>
    <t xml:space="preserve">Architects &amp; Engineers (A&amp;E)</t>
  </si>
  <si>
    <t xml:space="preserve">Design professional liability</t>
  </si>
  <si>
    <t xml:space="preserve">Covers design professionals against claims of design errors.</t>
  </si>
  <si>
    <t xml:space="preserve">An engineer's calculation error causes a building defect.</t>
  </si>
  <si>
    <t xml:space="preserve">Specialty Insurance &gt; Professional Liability (E&amp;O) &gt; Architects &amp; Engineers (A&amp;E)</t>
  </si>
  <si>
    <t xml:space="preserve">specialty.professional_liability.tech_eo</t>
  </si>
  <si>
    <t xml:space="preserve">Technology E&amp;O</t>
  </si>
  <si>
    <t xml:space="preserve">Tech professional liability</t>
  </si>
  <si>
    <t xml:space="preserve">Covers IT and software companies when their product or service fails and causes a client financial loss. Often combined with cyber.</t>
  </si>
  <si>
    <t xml:space="preserve">A software bug causes a client's billing system to fail.</t>
  </si>
  <si>
    <t xml:space="preserve">Specialty Insurance &gt; Professional Liability (E&amp;O) &gt; Technology E&amp;O</t>
  </si>
  <si>
    <t xml:space="preserve">specialty.professional_liability.accountants_pl</t>
  </si>
  <si>
    <t xml:space="preserve">Accountants Professional Liability</t>
  </si>
  <si>
    <t xml:space="preserve">CPA E&amp;O</t>
  </si>
  <si>
    <t xml:space="preserve">Covers accountants and bookkeepers against claims of errors in audits, tax or advice.</t>
  </si>
  <si>
    <t xml:space="preserve">A CPA misses a deduction and the client is fined.</t>
  </si>
  <si>
    <t xml:space="preserve">Specialty Insurance &gt; Professional Liability (E&amp;O) &gt; Accountants Professional Liability</t>
  </si>
  <si>
    <t xml:space="preserve">specialty.professional_liability.financial_services_eo</t>
  </si>
  <si>
    <t xml:space="preserve">Financial Services E&amp;O</t>
  </si>
  <si>
    <t xml:space="preserve">Investment advisers E&amp;O; Broker-dealer E&amp;O</t>
  </si>
  <si>
    <t xml:space="preserve">Covers advisers, brokers and asset managers against claims of negligent advice.</t>
  </si>
  <si>
    <t xml:space="preserve">An adviser is sued for unsuitable investments.</t>
  </si>
  <si>
    <t xml:space="preserve">Specialty Insurance &gt; Professional Liability (E&amp;O) &gt; Financial Services E&amp;O</t>
  </si>
  <si>
    <t xml:space="preserve">specialty.professional_liability.insurance_agents_eo</t>
  </si>
  <si>
    <t xml:space="preserve">Insurance Agents &amp; Brokers E&amp;O</t>
  </si>
  <si>
    <t xml:space="preserve">Covers insurance agents against claims they arranged the wrong cover.</t>
  </si>
  <si>
    <t xml:space="preserve">A broker forgets to add flood cover and the client sues.</t>
  </si>
  <si>
    <t xml:space="preserve">Required by some states and many carriers for appointment.</t>
  </si>
  <si>
    <t xml:space="preserve">Specialty Insurance &gt; Professional Liability (E&amp;O) &gt; Insurance Agents &amp; Brokers E&amp;O</t>
  </si>
  <si>
    <t xml:space="preserve">specialty.professional_liability.real_estate_eo</t>
  </si>
  <si>
    <t xml:space="preserve">Real Estate E&amp;O</t>
  </si>
  <si>
    <t xml:space="preserve">Covers real estate agents, brokers and appraisers against claims of misrepresentation or errors.</t>
  </si>
  <si>
    <t xml:space="preserve">A buyer sues an agent for failing to disclose a known defect.</t>
  </si>
  <si>
    <t xml:space="preserve">Required for licensees in a number of states (e.g. Colorado, Iowa, Kentucky).</t>
  </si>
  <si>
    <t xml:space="preserve">Specialty Insurance &gt; Professional Liability (E&amp;O) &gt; Real Estate E&amp;O</t>
  </si>
  <si>
    <t xml:space="preserve">specialty.professional_liability.miscellaneous_pl</t>
  </si>
  <si>
    <t xml:space="preserve">Miscellaneous Professional Liability (MPL)</t>
  </si>
  <si>
    <t xml:space="preserve">Covers other professionals such as consultants, marketers and HR advisers.</t>
  </si>
  <si>
    <t xml:space="preserve">A marketing agency is sued for a failed campaign.</t>
  </si>
  <si>
    <t xml:space="preserve">Specialty Insurance &gt; Professional Liability (E&amp;O) &gt; Miscellaneous Professional Liability (MPL)</t>
  </si>
  <si>
    <t xml:space="preserve">specialty.management_liability</t>
  </si>
  <si>
    <t xml:space="preserve">Management Liability</t>
  </si>
  <si>
    <t xml:space="preserve">Executive risk</t>
  </si>
  <si>
    <t xml:space="preserve">Covers company leaders and the company against claims about how the business is run.</t>
  </si>
  <si>
    <t xml:space="preserve">A company buys D&amp;O, EPL and fiduciary cover together.</t>
  </si>
  <si>
    <t xml:space="preserve">Specialty Insurance &gt; Management Liability</t>
  </si>
  <si>
    <t xml:space="preserve">specialty.management_liability.do</t>
  </si>
  <si>
    <t xml:space="preserve">Directors &amp; Officers (D&amp;O)</t>
  </si>
  <si>
    <t xml:space="preserve">D&amp;O liability</t>
  </si>
  <si>
    <t xml:space="preserve">Covers directors and officers personally, and often the company, against claims of wrongful acts in managing the company.</t>
  </si>
  <si>
    <t xml:space="preserve">Shareholders sue directors after the share price falls.</t>
  </si>
  <si>
    <t xml:space="preserve">Delaware and other state corporate laws govern indemnification of directors.</t>
  </si>
  <si>
    <t xml:space="preserve">Specialty Insurance &gt; Management Liability &gt; Directors &amp; Officers (D&amp;O)</t>
  </si>
  <si>
    <t xml:space="preserve">specialty.management_liability.do.side_a</t>
  </si>
  <si>
    <t xml:space="preserve">Side A</t>
  </si>
  <si>
    <t xml:space="preserve">Non-indemnifiable loss</t>
  </si>
  <si>
    <t xml:space="preserve">Covers directors personally when the company can't or won't indemnify them, such as in bankruptcy.</t>
  </si>
  <si>
    <t xml:space="preserve">A director's defense costs are paid after the company goes bankrupt.</t>
  </si>
  <si>
    <t xml:space="preserve">Specialty Insurance &gt; Management Liability &gt; Directors &amp; Officers (D&amp;O) &gt; Side A</t>
  </si>
  <si>
    <t xml:space="preserve">specialty.management_liability.do.side_b</t>
  </si>
  <si>
    <t xml:space="preserve">Side B</t>
  </si>
  <si>
    <t xml:space="preserve">Company reimbursement</t>
  </si>
  <si>
    <t xml:space="preserve">Reimburses the company for costs it pays to defend its directors.</t>
  </si>
  <si>
    <t xml:space="preserve">The company pays a director's legal fees and is reimbursed.</t>
  </si>
  <si>
    <t xml:space="preserve">Specialty Insurance &gt; Management Liability &gt; Directors &amp; Officers (D&amp;O) &gt; Side B</t>
  </si>
  <si>
    <t xml:space="preserve">specialty.management_liability.do.side_c</t>
  </si>
  <si>
    <t xml:space="preserve">Side C</t>
  </si>
  <si>
    <t xml:space="preserve">Entity coverage</t>
  </si>
  <si>
    <t xml:space="preserve">Covers the company itself, for securities claims (public companies) or broader claims (private companies).</t>
  </si>
  <si>
    <t xml:space="preserve">A listed company is sued in a securities class action.</t>
  </si>
  <si>
    <t xml:space="preserve">Securities class actions are brought under the Securities Act of 1933 and Exchange Act of 1934.</t>
  </si>
  <si>
    <t xml:space="preserve">Specialty Insurance &gt; Management Liability &gt; Directors &amp; Officers (D&amp;O) &gt; Side C</t>
  </si>
  <si>
    <t xml:space="preserve">specialty.management_liability.do.public_do</t>
  </si>
  <si>
    <t xml:space="preserve">Public Company D&amp;O</t>
  </si>
  <si>
    <t xml:space="preserve">D&amp;O for listed companies, focused on securities class actions and SEC investigations.</t>
  </si>
  <si>
    <t xml:space="preserve">A company's directors are sued after a missed earnings forecast.</t>
  </si>
  <si>
    <t xml:space="preserve">Specialty Insurance &gt; Management Liability &gt; Directors &amp; Officers (D&amp;O) &gt; Public Company D&amp;O</t>
  </si>
  <si>
    <t xml:space="preserve">specialty.management_liability.do.private_do</t>
  </si>
  <si>
    <t xml:space="preserve">Private Company &amp; Nonprofit D&amp;O</t>
  </si>
  <si>
    <t xml:space="preserve">D&amp;O for private companies and nonprofits, often bundled with EPL and fiduciary.</t>
  </si>
  <si>
    <t xml:space="preserve">A nonprofit board is sued by a donor.</t>
  </si>
  <si>
    <t xml:space="preserve">Specialty Insurance &gt; Management Liability &gt; Directors &amp; Officers (D&amp;O) &gt; Private Company &amp; Nonprofit D&amp;O</t>
  </si>
  <si>
    <t xml:space="preserve">specialty.management_liability.epl</t>
  </si>
  <si>
    <t xml:space="preserve">Employment Practices Liability (EPLI)</t>
  </si>
  <si>
    <t xml:space="preserve">EPL</t>
  </si>
  <si>
    <t xml:space="preserve">Covers claims from employees for wrongful termination, discrimination, harassment and retaliation.</t>
  </si>
  <si>
    <t xml:space="preserve">An ex-employee sues for wrongful termination.</t>
  </si>
  <si>
    <t xml:space="preserve">Claims arise under Title VII, ADA, ADEA and state laws; EEOC charges are a common trigger. Wage-and-hour claims are usually excluded.</t>
  </si>
  <si>
    <t xml:space="preserve">Specialty Insurance &gt; Management Liability &gt; Employment Practices Liability (EPLI)</t>
  </si>
  <si>
    <t xml:space="preserve">specialty.management_liability.fiduciary</t>
  </si>
  <si>
    <t xml:space="preserve">Fiduciary Liability</t>
  </si>
  <si>
    <t xml:space="preserve">Covers people managing employee benefit plans (401(k), pension, health) against claims of mismanagement.</t>
  </si>
  <si>
    <t xml:space="preserve">Employees claim a 401(k) plan charged excessive fees.</t>
  </si>
  <si>
    <t xml:space="preserve">Fiduciary duties are imposed by ERISA; distinct from the ERISA fidelity bond.</t>
  </si>
  <si>
    <t xml:space="preserve">Specialty Insurance &gt; Management Liability &gt; Fiduciary Liability</t>
  </si>
  <si>
    <t xml:space="preserve">specialty.kr</t>
  </si>
  <si>
    <t xml:space="preserve">Kidnap, Ransom &amp; Extortion (K&amp;R)</t>
  </si>
  <si>
    <t xml:space="preserve">Special risks</t>
  </si>
  <si>
    <t xml:space="preserve">Covers ransom payments, crisis consultants and related costs for kidnap, extortion and wrongful detention.</t>
  </si>
  <si>
    <t xml:space="preserve">A company's engineer is kidnapped abroad and crisis experts are sent.</t>
  </si>
  <si>
    <t xml:space="preserve">Paying ransom to sanctioned persons is prohibited by OFAC.</t>
  </si>
  <si>
    <t xml:space="preserve">Specialty Insurance &gt; Kidnap, Ransom &amp; Extortion (K&amp;R)</t>
  </si>
  <si>
    <t xml:space="preserve">specialty.political_risk</t>
  </si>
  <si>
    <t xml:space="preserve">Political Risk Insurance (PRI)</t>
  </si>
  <si>
    <t xml:space="preserve">Covers investors and lenders against losses caused by government actions or political violence abroad.</t>
  </si>
  <si>
    <t xml:space="preserve">A US company's mine in another country is seized by the government.</t>
  </si>
  <si>
    <t xml:space="preserve">Also available from the US International Development Finance Corporation (DFC).</t>
  </si>
  <si>
    <t xml:space="preserve">Specialty Insurance &gt; Political Risk Insurance (PRI)</t>
  </si>
  <si>
    <t xml:space="preserve">specialty.political_risk.confiscation</t>
  </si>
  <si>
    <t xml:space="preserve">Confiscation, Expropriation &amp; Nationalization (CEN)</t>
  </si>
  <si>
    <t xml:space="preserve">Covers seizure of assets by a foreign government.</t>
  </si>
  <si>
    <t xml:space="preserve">A government nationalizes an oil field.</t>
  </si>
  <si>
    <t xml:space="preserve">Specialty Insurance &gt; Political Risk Insurance (PRI) &gt; Confiscation, Expropriation &amp; Nationalization (CEN)</t>
  </si>
  <si>
    <t xml:space="preserve">specialty.political_risk.currency_inconvertibility</t>
  </si>
  <si>
    <t xml:space="preserve">Currency Inconvertibility &amp; Transfer</t>
  </si>
  <si>
    <t xml:space="preserve">Covers inability to convert local currency or move money out of a country.</t>
  </si>
  <si>
    <t xml:space="preserve">A company can't send profits home due to new currency controls.</t>
  </si>
  <si>
    <t xml:space="preserve">Specialty Insurance &gt; Political Risk Insurance (PRI) &gt; Currency Inconvertibility &amp; Transfer</t>
  </si>
  <si>
    <t xml:space="preserve">specialty.political_risk.political_violence</t>
  </si>
  <si>
    <t xml:space="preserve">Political Violence</t>
  </si>
  <si>
    <t xml:space="preserve">War, terrorism &amp; civil unrest</t>
  </si>
  <si>
    <t xml:space="preserve">Covers damage from war, riots, strikes and terrorism.</t>
  </si>
  <si>
    <t xml:space="preserve">A hotel abroad is damaged during civil unrest.</t>
  </si>
  <si>
    <t xml:space="preserve">Specialty Insurance &gt; Political Risk Insurance (PRI) &gt; Political Violence</t>
  </si>
  <si>
    <t xml:space="preserve">specialty.political_risk.contract_frustration</t>
  </si>
  <si>
    <t xml:space="preserve">Contract Frustration</t>
  </si>
  <si>
    <t xml:space="preserve">Non-honoring of sovereign obligations</t>
  </si>
  <si>
    <t xml:space="preserve">Covers losses when a foreign government buyer fails to pay or cancels a contract.</t>
  </si>
  <si>
    <t xml:space="preserve">A foreign ministry cancels a contract without paying.</t>
  </si>
  <si>
    <t xml:space="preserve">Specialty Insurance &gt; Political Risk Insurance (PRI) &gt; Contract Frustration</t>
  </si>
  <si>
    <t xml:space="preserve">specialty.event</t>
  </si>
  <si>
    <t xml:space="preserve">Event &amp; Entertainment Insurance</t>
  </si>
  <si>
    <t xml:space="preserve">Covers events and productions against cancellation, damage and liability.</t>
  </si>
  <si>
    <t xml:space="preserve">A music festival is cancelled due to a storm.</t>
  </si>
  <si>
    <t xml:space="preserve">Specialty Insurance &gt; Event &amp; Entertainment Insurance</t>
  </si>
  <si>
    <t xml:space="preserve">specialty.event.event_cancellation</t>
  </si>
  <si>
    <t xml:space="preserve">Event Cancellation</t>
  </si>
  <si>
    <t xml:space="preserve">Contingency</t>
  </si>
  <si>
    <t xml:space="preserve">Covers costs and lost income if an event is cancelled, postponed or relocated.</t>
  </si>
  <si>
    <t xml:space="preserve">A conference is cancelled when the venue floods.</t>
  </si>
  <si>
    <t xml:space="preserve">Specialty Insurance &gt; Event &amp; Entertainment Insurance &gt; Event Cancellation</t>
  </si>
  <si>
    <t xml:space="preserve">specialty.event.non_appearance</t>
  </si>
  <si>
    <t xml:space="preserve">Non-Appearance</t>
  </si>
  <si>
    <t xml:space="preserve">Covers losses if a key performer or speaker can't appear.</t>
  </si>
  <si>
    <t xml:space="preserve">A headline singer falls ill before a concert.</t>
  </si>
  <si>
    <t xml:space="preserve">Specialty Insurance &gt; Event &amp; Entertainment Insurance &gt; Non-Appearance</t>
  </si>
  <si>
    <t xml:space="preserve">specialty.event.wedding</t>
  </si>
  <si>
    <t xml:space="preserve">Wedding / Special Event Insurance</t>
  </si>
  <si>
    <t xml:space="preserve">Private event insurance</t>
  </si>
  <si>
    <t xml:space="preserve">Covers lost deposits and extra costs if a wedding is cancelled or goes wrong, plus event liability.</t>
  </si>
  <si>
    <t xml:space="preserve">A venue goes bankrupt and the wedding deposits are refunded.</t>
  </si>
  <si>
    <t xml:space="preserve">Specialty Insurance &gt; Event &amp; Entertainment Insurance &gt; Wedding / Special Event Insurance</t>
  </si>
  <si>
    <t xml:space="preserve">specialty.event.film_production</t>
  </si>
  <si>
    <t xml:space="preserve">Film &amp; TV Production</t>
  </si>
  <si>
    <t xml:space="preserve">Entertainment package</t>
  </si>
  <si>
    <t xml:space="preserve">Covers productions for equipment, cast illness, delays and liability.</t>
  </si>
  <si>
    <t xml:space="preserve">A lead actor's injury delays a film and costs are paid.</t>
  </si>
  <si>
    <t xml:space="preserve">Specialty Insurance &gt; Event &amp; Entertainment Insurance &gt; Film &amp; TV Production</t>
  </si>
  <si>
    <t xml:space="preserve">specialty.event.prize_indemnity</t>
  </si>
  <si>
    <t xml:space="preserve">Prize Indemnity / Hole-in-One</t>
  </si>
  <si>
    <t xml:space="preserve">Covers the cost of paying out a big prize in a promotion or contest.</t>
  </si>
  <si>
    <t xml:space="preserve">A golfer hits a hole-in-one and wins a car, paid by the insurer.</t>
  </si>
  <si>
    <t xml:space="preserve">Specialty Insurance &gt; Event &amp; Entertainment Insurance &gt; Prize Indemnity / Hole-in-One</t>
  </si>
  <si>
    <t xml:space="preserve">specialty.pet</t>
  </si>
  <si>
    <t xml:space="preserve">Pet Insurance</t>
  </si>
  <si>
    <t xml:space="preserve">Pays vet bills for pets' illnesses and injuries, usually by reimbursing you after you pay the vet.</t>
  </si>
  <si>
    <t xml:space="preserve">A dog's surgery for a torn ligament is reimbursed.</t>
  </si>
  <si>
    <t xml:space="preserve">The NAIC Pet Insurance Model Act (2022) has been adopted by a growing number of states.</t>
  </si>
  <si>
    <t xml:space="preserve">Specialty Insurance &gt; Pet Insurance</t>
  </si>
  <si>
    <t xml:space="preserve">specialty.pet.accident_only</t>
  </si>
  <si>
    <t xml:space="preserve">Accident-Only</t>
  </si>
  <si>
    <t xml:space="preserve">Covers vet bills from accidents only, at a lower price.</t>
  </si>
  <si>
    <t xml:space="preserve">A cat hit by a car is treated.</t>
  </si>
  <si>
    <t xml:space="preserve">Specialty Insurance &gt; Pet Insurance &gt; Accident-Only</t>
  </si>
  <si>
    <t xml:space="preserve">specialty.pet.accident_illness</t>
  </si>
  <si>
    <t xml:space="preserve">Accident &amp; Illness</t>
  </si>
  <si>
    <t xml:space="preserve">Comprehensive pet</t>
  </si>
  <si>
    <t xml:space="preserve">Covers accidents and illnesses such as cancer, allergies and infections.</t>
  </si>
  <si>
    <t xml:space="preserve">A dog with diabetes has treatment paid every year.</t>
  </si>
  <si>
    <t xml:space="preserve">Pre-existing conditions are typically excluded.</t>
  </si>
  <si>
    <t xml:space="preserve">Specialty Insurance &gt; Pet Insurance &gt; Accident &amp; Illness</t>
  </si>
  <si>
    <t xml:space="preserve">specialty.pet.wellness</t>
  </si>
  <si>
    <t xml:space="preserve">Wellness / Routine Care Add-On</t>
  </si>
  <si>
    <t xml:space="preserve">Covers routine vaccinations, checkups and flea prevention.</t>
  </si>
  <si>
    <t xml:space="preserve">A puppy's vaccinations are covered.</t>
  </si>
  <si>
    <t xml:space="preserve">Wellness plans are not insurance under the NAIC model law.</t>
  </si>
  <si>
    <t xml:space="preserve">Specialty Insurance &gt; Pet Insurance &gt; Wellness / Routine Care Add-On</t>
  </si>
  <si>
    <t xml:space="preserve">specialty.pet.equine</t>
  </si>
  <si>
    <t xml:space="preserve">Equine Insurance</t>
  </si>
  <si>
    <t xml:space="preserve">Horse insurance</t>
  </si>
  <si>
    <t xml:space="preserve">Covers horses for death (equine mortality), major medical, surgery and liability.</t>
  </si>
  <si>
    <t xml:space="preserve">A horse owner's colic surgery bill is paid.</t>
  </si>
  <si>
    <t xml:space="preserve">Specialty Insurance &gt; Pet Insurance &gt; Equine Insurance</t>
  </si>
  <si>
    <t xml:space="preserve">specialty.travel</t>
  </si>
  <si>
    <t xml:space="preserve">Travel Insurance</t>
  </si>
  <si>
    <t xml:space="preserve">Covers trip cancellations, medical emergencies abroad and lost luggage.</t>
  </si>
  <si>
    <t xml:space="preserve">A tourist breaks a leg in Italy and hospital costs are paid.</t>
  </si>
  <si>
    <t xml:space="preserve">Regulated by states; NAIC Travel Insurance Model Act adopted in many states. Medicare generally doesn't cover care abroad.</t>
  </si>
  <si>
    <t xml:space="preserve">Specialty Insurance &gt; Travel Insurance</t>
  </si>
  <si>
    <t xml:space="preserve">specialty.travel.trip_cancellation</t>
  </si>
  <si>
    <t xml:space="preserve">Trip Cancellation &amp; Interruption</t>
  </si>
  <si>
    <t xml:space="preserve">Refunds prepaid, non-refundable costs if you must cancel or cut short a trip for a covered reason.</t>
  </si>
  <si>
    <t xml:space="preserve">A trip is cancelled due to a family death and costs are refunded.</t>
  </si>
  <si>
    <t xml:space="preserve">Specialty Insurance &gt; Travel Insurance &gt; Trip Cancellation &amp; Interruption</t>
  </si>
  <si>
    <t xml:space="preserve">specialty.travel.cfar</t>
  </si>
  <si>
    <t xml:space="preserve">Cancel For Any Reason (CFAR)</t>
  </si>
  <si>
    <t xml:space="preserve">Optional upgrade that refunds part of trip costs (often 50-75%) if you cancel for any reason.</t>
  </si>
  <si>
    <t xml:space="preserve">A traveler changes plans and gets 75% back.</t>
  </si>
  <si>
    <t xml:space="preserve">Must usually be bought within 14-21 days of first trip payment.</t>
  </si>
  <si>
    <t xml:space="preserve">Specialty Insurance &gt; Travel Insurance &gt; Cancel For Any Reason (CFAR)</t>
  </si>
  <si>
    <t xml:space="preserve">specialty.travel.travel_medical</t>
  </si>
  <si>
    <t xml:space="preserve">Travel Medical &amp; Evacuation</t>
  </si>
  <si>
    <t xml:space="preserve">Covers emergency medical treatment abroad and medical evacuation.</t>
  </si>
  <si>
    <t xml:space="preserve">A traveler is flown home after a stroke.</t>
  </si>
  <si>
    <t xml:space="preserve">Specialty Insurance &gt; Travel Insurance &gt; Travel Medical &amp; Evacuation</t>
  </si>
  <si>
    <t xml:space="preserve">specialty.travel.baggage</t>
  </si>
  <si>
    <t xml:space="preserve">Baggage &amp; Personal Effects</t>
  </si>
  <si>
    <t xml:space="preserve">Covers lost, stolen or delayed luggage.</t>
  </si>
  <si>
    <t xml:space="preserve">Delayed bags lead to reimbursement for essentials.</t>
  </si>
  <si>
    <t xml:space="preserve">Specialty Insurance &gt; Travel Insurance &gt; Baggage &amp; Personal Effects</t>
  </si>
  <si>
    <t xml:space="preserve">specialty.travel.annual_travel</t>
  </si>
  <si>
    <t xml:space="preserve">Annual Multi-Trip</t>
  </si>
  <si>
    <t xml:space="preserve">Covers all trips in a year, each up to a maximum length.</t>
  </si>
  <si>
    <t xml:space="preserve">A consultant who travels monthly buys annual cover.</t>
  </si>
  <si>
    <t xml:space="preserve">Specialty Insurance &gt; Travel Insurance &gt; Annual Multi-Trip</t>
  </si>
  <si>
    <t xml:space="preserve">specialty.travel.student_travel</t>
  </si>
  <si>
    <t xml:space="preserve">International Student Insurance</t>
  </si>
  <si>
    <t xml:space="preserve">Health cover for foreign students studying in the US, often required by universities and J-1 visa rules.</t>
  </si>
  <si>
    <t xml:space="preserve">A J-1 exchange student buys a plan meeting State Department minimums.</t>
  </si>
  <si>
    <t xml:space="preserve">Specialty Insurance &gt; Travel Insurance &gt; International Student Insurance</t>
  </si>
  <si>
    <t xml:space="preserve">specialty.warranty</t>
  </si>
  <si>
    <t xml:space="preserve">Extended Warranty / Service Contracts</t>
  </si>
  <si>
    <t xml:space="preserve">Vehicle service contract; Mechanical breakdown insurance (MBI)</t>
  </si>
  <si>
    <t xml:space="preserve">Covers repair of products or vehicles after the manufacturer's warranty ends.</t>
  </si>
  <si>
    <t xml:space="preserve">A washing machine breaks in year 3 and repairs are covered.</t>
  </si>
  <si>
    <t xml:space="preserve">Service contracts are regulated separately from insurance in most states; MBI is an insurance product sold by insurers (e.g. in California).</t>
  </si>
  <si>
    <t xml:space="preserve">Specialty Insurance &gt; Extended Warranty / Service Contracts</t>
  </si>
  <si>
    <t xml:space="preserve">specialty.sports</t>
  </si>
  <si>
    <t xml:space="preserve">Sports &amp; Contingency</t>
  </si>
  <si>
    <t xml:space="preserve">Specialist covers for athletes, teams and bloodstock.</t>
  </si>
  <si>
    <t xml:space="preserve">A team insures a player's salary during injury.</t>
  </si>
  <si>
    <t xml:space="preserve">Specialty Insurance &gt; Sports &amp; Contingency</t>
  </si>
  <si>
    <t xml:space="preserve">specialty.sports.athlete_disability</t>
  </si>
  <si>
    <t xml:space="preserve">Athlete Permanent Total Disability</t>
  </si>
  <si>
    <t xml:space="preserve">Loss of value</t>
  </si>
  <si>
    <t xml:space="preserve">Pays athletes if an injury ends their career or reduces their draft value.</t>
  </si>
  <si>
    <t xml:space="preserve">A college football star insures future pro earnings.</t>
  </si>
  <si>
    <t xml:space="preserve">Some NCAA programs (Exceptional Student-Athlete Disability Insurance) help top athletes buy cover.</t>
  </si>
  <si>
    <t xml:space="preserve">Specialty Insurance &gt; Sports &amp; Contingency &gt; Athlete Permanent Total Disability</t>
  </si>
  <si>
    <t xml:space="preserve">specialty.sports.bloodstock</t>
  </si>
  <si>
    <t xml:space="preserve">Bloodstock / Livestock Mortality</t>
  </si>
  <si>
    <t xml:space="preserve">Covers death or injury of valuable racehorses and breeding animals.</t>
  </si>
  <si>
    <t xml:space="preserve">A Kentucky stud farm insures a stallion.</t>
  </si>
  <si>
    <t xml:space="preserve">Specialty Insurance &gt; Sports &amp; Contingency &gt; Bloodstock / Livestock Mortality</t>
  </si>
  <si>
    <t xml:space="preserve">specialty.transactional</t>
  </si>
  <si>
    <t xml:space="preserve">Transactional Risk Insurance</t>
  </si>
  <si>
    <t xml:space="preserve">M&amp;A insurance</t>
  </si>
  <si>
    <t xml:space="preserve">Covers risks in buying or selling a company.</t>
  </si>
  <si>
    <t xml:space="preserve">A buyer claims after discovering the target's accounts were wrong.</t>
  </si>
  <si>
    <t xml:space="preserve">Specialty Insurance &gt; Transactional Risk Insurance</t>
  </si>
  <si>
    <t xml:space="preserve">specialty.transactional.rw</t>
  </si>
  <si>
    <t xml:space="preserve">Representations &amp; Warranties (R&amp;W)</t>
  </si>
  <si>
    <t xml:space="preserve">Warranty &amp; indemnity (W&amp;I)</t>
  </si>
  <si>
    <t xml:space="preserve">Covers losses from breaches of the seller's promises in a purchase agreement.</t>
  </si>
  <si>
    <t xml:space="preserve">A buyer is paid when an undisclosed lawsuit emerges.</t>
  </si>
  <si>
    <t xml:space="preserve">Specialty Insurance &gt; Transactional Risk Insurance &gt; Representations &amp; Warranties (R&amp;W)</t>
  </si>
  <si>
    <t xml:space="preserve">specialty.transactional.tax_liability</t>
  </si>
  <si>
    <t xml:space="preserve">Tax Liability Insurance</t>
  </si>
  <si>
    <t xml:space="preserve">Covers the risk that the IRS or a state challenges a tax position.</t>
  </si>
  <si>
    <t xml:space="preserve">A deal's tax structure is challenged and extra tax is paid.</t>
  </si>
  <si>
    <t xml:space="preserve">Specialty Insurance &gt; Transactional Risk Insurance &gt; Tax Liability Insurance</t>
  </si>
  <si>
    <t xml:space="preserve">specialty.transactional.contingent_risk</t>
  </si>
  <si>
    <t xml:space="preserve">Contingent Risk / Judgment Preservation</t>
  </si>
  <si>
    <t xml:space="preserve">Litigation insurance</t>
  </si>
  <si>
    <t xml:space="preserve">Covers specific identified risks, such as losing a won judgment on appeal.</t>
  </si>
  <si>
    <t xml:space="preserve">A company insures its trial win against reversal.</t>
  </si>
  <si>
    <t xml:space="preserve">Specialty Insurance &gt; Transactional Risk Insurance &gt; Contingent Risk / Judgment Preservation</t>
  </si>
  <si>
    <t xml:space="preserve">specialty.ip</t>
  </si>
  <si>
    <t xml:space="preserve">Intellectual Property Insurance</t>
  </si>
  <si>
    <t xml:space="preserve">IP insurance</t>
  </si>
  <si>
    <t xml:space="preserve">Covers legal costs to defend against or enforce patents, trademarks and copyrights.</t>
  </si>
  <si>
    <t xml:space="preserve">A startup is sued by a patent assertion entity.</t>
  </si>
  <si>
    <t xml:space="preserve">Specialty Insurance &gt; Intellectual Property Insurance</t>
  </si>
  <si>
    <t xml:space="preserve">specialty.weather</t>
  </si>
  <si>
    <t xml:space="preserve">Weather Insurance</t>
  </si>
  <si>
    <t xml:space="preserve">Weather derivatives</t>
  </si>
  <si>
    <t xml:space="preserve">Pays when weather such as rain, snow or temperature is worse than agreed; often parametric.</t>
  </si>
  <si>
    <t xml:space="preserve">An outdoor festival is paid if more than 0.5 inches of rain falls.</t>
  </si>
  <si>
    <t xml:space="preserve">Specialty Insurance &gt; Weather Insurance</t>
  </si>
  <si>
    <t xml:space="preserve">financial</t>
  </si>
  <si>
    <t xml:space="preserve">Financial Lines</t>
  </si>
  <si>
    <t xml:space="preserve">Credit &amp; surety; Financial guaranty lines</t>
  </si>
  <si>
    <t xml:space="preserve">Insurance that protects against financial loss from non-payment, dishonesty, failed obligations or defects in ownership, rather than physical damage.</t>
  </si>
  <si>
    <t xml:space="preserve">A contractor gets a bond so a city will award it a road project.</t>
  </si>
  <si>
    <t xml:space="preserve">financial.credit</t>
  </si>
  <si>
    <t xml:space="preserve">Credit Insurance</t>
  </si>
  <si>
    <t xml:space="preserve">Protects lenders or sellers when borrowers or customers don't pay.</t>
  </si>
  <si>
    <t xml:space="preserve">A wholesaler is paid when a big customer goes bankrupt.</t>
  </si>
  <si>
    <t xml:space="preserve">Financial Lines &gt; Credit Insurance</t>
  </si>
  <si>
    <t xml:space="preserve">financial.credit.trade_credit</t>
  </si>
  <si>
    <t xml:space="preserve">Trade Credit Insurance</t>
  </si>
  <si>
    <t xml:space="preserve">Accounts receivable insurance</t>
  </si>
  <si>
    <t xml:space="preserve">Protects a business when customers fail to pay invoices due to insolvency or long delays.</t>
  </si>
  <si>
    <t xml:space="preserve">A supplier is paid 90% of an unpaid invoice after a retailer goes bankrupt.</t>
  </si>
  <si>
    <t xml:space="preserve">Financial Lines &gt; Credit Insurance &gt; Trade Credit Insurance</t>
  </si>
  <si>
    <t xml:space="preserve">financial.credit.trade_credit.whole_turnover</t>
  </si>
  <si>
    <t xml:space="preserve">Whole Turnover Policy</t>
  </si>
  <si>
    <t xml:space="preserve">Covers all of a business's credit sales to customers.</t>
  </si>
  <si>
    <t xml:space="preserve">A distributor insures all its receivables.</t>
  </si>
  <si>
    <t xml:space="preserve">Financial Lines &gt; Credit Insurance &gt; Trade Credit Insurance &gt; Whole Turnover Policy</t>
  </si>
  <si>
    <t xml:space="preserve">financial.credit.trade_credit.key_account</t>
  </si>
  <si>
    <t xml:space="preserve">Key Account / Single Buyer</t>
  </si>
  <si>
    <t xml:space="preserve">Covers credit risk on one or a few major customers.</t>
  </si>
  <si>
    <t xml:space="preserve">A supplier insures its exposure to one large retailer.</t>
  </si>
  <si>
    <t xml:space="preserve">Financial Lines &gt; Credit Insurance &gt; Trade Credit Insurance &gt; Key Account / Single Buyer</t>
  </si>
  <si>
    <t xml:space="preserve">financial.credit.trade_credit.export_credit</t>
  </si>
  <si>
    <t xml:space="preserve">Export Credit Insurance</t>
  </si>
  <si>
    <t xml:space="preserve">Covers foreign buyers failing to pay, including political risks.</t>
  </si>
  <si>
    <t xml:space="preserve">A US exporter insures sales to a buyer abroad.</t>
  </si>
  <si>
    <t xml:space="preserve">Available from private insurers and the Export-Import Bank of the United States (EXIM).</t>
  </si>
  <si>
    <t xml:space="preserve">Financial Lines &gt; Credit Insurance &gt; Trade Credit Insurance &gt; Export Credit Insurance</t>
  </si>
  <si>
    <t xml:space="preserve">financial.credit.credit_ph</t>
  </si>
  <si>
    <t xml:space="preserve">Credit-Related Insurance (Consumer)</t>
  </si>
  <si>
    <t xml:space="preserve">Credit insurance; Payment protection</t>
  </si>
  <si>
    <t xml:space="preserve">Pays a borrower's loan payments if they die, become disabled or lose their job.</t>
  </si>
  <si>
    <t xml:space="preserve">A car loan's payments are made while the borrower is disabled.</t>
  </si>
  <si>
    <t xml:space="preserve">Includes credit life, credit disability and involuntary unemployment; sales practices regulated by state consumer credit insurance laws.</t>
  </si>
  <si>
    <t xml:space="preserve">Financial Lines &gt; Credit Insurance &gt; Credit-Related Insurance (Consumer)</t>
  </si>
  <si>
    <t xml:space="preserve">financial.credit.credit_ph.credit_disability</t>
  </si>
  <si>
    <t xml:space="preserve">Credit Disability</t>
  </si>
  <si>
    <t xml:space="preserve">Credit accident and health</t>
  </si>
  <si>
    <t xml:space="preserve">Makes loan payments while the borrower is disabled.</t>
  </si>
  <si>
    <t xml:space="preserve">A borrower's monthly car payment is covered during recovery from surgery.</t>
  </si>
  <si>
    <t xml:space="preserve">Financial Lines &gt; Credit Insurance &gt; Credit-Related Insurance (Consumer) &gt; Credit Disability</t>
  </si>
  <si>
    <t xml:space="preserve">financial.credit.credit_ph.involuntary_unemployment</t>
  </si>
  <si>
    <t xml:space="preserve">Involuntary Unemployment</t>
  </si>
  <si>
    <t xml:space="preserve">IUI</t>
  </si>
  <si>
    <t xml:space="preserve">Makes loan payments for a limited time after a job loss.</t>
  </si>
  <si>
    <t xml:space="preserve">A laid-off worker's credit card minimums are paid for 6 months.</t>
  </si>
  <si>
    <t xml:space="preserve">Financial Lines &gt; Credit Insurance &gt; Credit-Related Insurance (Consumer) &gt; Involuntary Unemployment</t>
  </si>
  <si>
    <t xml:space="preserve">financial.credit.creditor_placed</t>
  </si>
  <si>
    <t xml:space="preserve">Creditor-Placed / Force-Placed Insurance</t>
  </si>
  <si>
    <t xml:space="preserve">Lender-placed insurance</t>
  </si>
  <si>
    <t xml:space="preserve">Insurance a lender buys and charges to the borrower when the borrower lets required cover lapse.</t>
  </si>
  <si>
    <t xml:space="preserve">A lender force-places hazard cover on a home after the owner's policy lapsed.</t>
  </si>
  <si>
    <t xml:space="preserve">Subject to CFPB (RESPA) rules for mortgages and state regulation.</t>
  </si>
  <si>
    <t xml:space="preserve">Financial Lines &gt; Credit Insurance &gt; Creditor-Placed / Force-Placed Insurance</t>
  </si>
  <si>
    <t xml:space="preserve">financial.mortgage</t>
  </si>
  <si>
    <t xml:space="preserve">Mortgage Insurance</t>
  </si>
  <si>
    <t xml:space="preserve">Protects a mortgage lender if the borrower defaults; the borrower usually pays for it.</t>
  </si>
  <si>
    <t xml:space="preserve">A buyer with a 10% down payment pays monthly mortgage insurance.</t>
  </si>
  <si>
    <t xml:space="preserve">Financial Lines &gt; Mortgage Insurance</t>
  </si>
  <si>
    <t xml:space="preserve">financial.mortgage.pmi</t>
  </si>
  <si>
    <t xml:space="preserve">Private Mortgage Insurance (PMI)</t>
  </si>
  <si>
    <t xml:space="preserve">Required on conventional loans with less than 20% down; it can be cancelled once equity reaches 20% and must end automatically at 22%.</t>
  </si>
  <si>
    <t xml:space="preserve">A first-time buyer pays PMI until their loan-to-value falls to 80%.</t>
  </si>
  <si>
    <t xml:space="preserve">Cancellation rules set by the federal Homeowners Protection Act of 1998. Required by Fannie Mae and Freddie Mac for high-LTV loans.</t>
  </si>
  <si>
    <t xml:space="preserve">Financial Lines &gt; Mortgage Insurance &gt; Private Mortgage Insurance (PMI)</t>
  </si>
  <si>
    <t xml:space="preserve">financial.mortgage.pmi.bpmi</t>
  </si>
  <si>
    <t xml:space="preserve">Borrower-Paid Monthly PMI</t>
  </si>
  <si>
    <t xml:space="preserve">Premium added to the monthly mortgage payment.</t>
  </si>
  <si>
    <t xml:space="preserve">A buyer pays $120 a month in PMI.</t>
  </si>
  <si>
    <t xml:space="preserve">Financial Lines &gt; Mortgage Insurance &gt; Private Mortgage Insurance (PMI) &gt; Borrower-Paid Monthly PMI</t>
  </si>
  <si>
    <t xml:space="preserve">financial.mortgage.pmi.single_premium_mi</t>
  </si>
  <si>
    <t xml:space="preserve">Single-Premium PMI</t>
  </si>
  <si>
    <t xml:space="preserve">PMI paid in one lump sum at closing.</t>
  </si>
  <si>
    <t xml:space="preserve">A buyer pays PMI upfront to lower monthly costs.</t>
  </si>
  <si>
    <t xml:space="preserve">Financial Lines &gt; Mortgage Insurance &gt; Private Mortgage Insurance (PMI) &gt; Single-Premium PMI</t>
  </si>
  <si>
    <t xml:space="preserve">financial.mortgage.pmi.lpmi</t>
  </si>
  <si>
    <t xml:space="preserve">Lender-Paid Mortgage Insurance (LPMI)</t>
  </si>
  <si>
    <t xml:space="preserve">The lender pays for PMI in exchange for a higher interest rate.</t>
  </si>
  <si>
    <t xml:space="preserve">A buyer accepts a slightly higher rate to avoid a separate PMI bill.</t>
  </si>
  <si>
    <t xml:space="preserve">Cannot be cancelled since it's built into the rate.</t>
  </si>
  <si>
    <t xml:space="preserve">Financial Lines &gt; Mortgage Insurance &gt; Private Mortgage Insurance (PMI) &gt; Lender-Paid Mortgage Insurance (LPMI)</t>
  </si>
  <si>
    <t xml:space="preserve">financial.mortgage.fha_mip</t>
  </si>
  <si>
    <t xml:space="preserve">FHA Mortgage Insurance Premium (MIP)</t>
  </si>
  <si>
    <t xml:space="preserve">Government mortgage insurance on FHA loans, with an upfront premium and annual premium.</t>
  </si>
  <si>
    <t xml:space="preserve">A buyer with 3.5% down on an FHA loan pays MIP.</t>
  </si>
  <si>
    <t xml:space="preserve">Run by HUD's Federal Housing Administration; with less than 10% down, MIP lasts for the life of the loan.</t>
  </si>
  <si>
    <t xml:space="preserve">Financial Lines &gt; Mortgage Insurance &gt; FHA Mortgage Insurance Premium (MIP)</t>
  </si>
  <si>
    <t xml:space="preserve">financial.mortgage.va_guaranty</t>
  </si>
  <si>
    <t xml:space="preserve">VA Loan Guaranty</t>
  </si>
  <si>
    <t xml:space="preserve">VA funding fee</t>
  </si>
  <si>
    <t xml:space="preserve">The Department of Veterans Affairs guarantees part of VA loans instead of mortgage insurance; borrowers pay a one-time funding fee.</t>
  </si>
  <si>
    <t xml:space="preserve">A veteran buys a home with 0% down.</t>
  </si>
  <si>
    <t xml:space="preserve">Federal program; certain disabled veterans are exempt from the fee.</t>
  </si>
  <si>
    <t xml:space="preserve">Financial Lines &gt; Mortgage Insurance &gt; VA Loan Guaranty</t>
  </si>
  <si>
    <t xml:space="preserve">financial.mortgage.usda_guarantee</t>
  </si>
  <si>
    <t xml:space="preserve">USDA Loan Guarantee Fee</t>
  </si>
  <si>
    <t xml:space="preserve">USDA guarantees rural home loans in exchange for upfront and annual fees.</t>
  </si>
  <si>
    <t xml:space="preserve">A family in a rural town buys a home with a USDA loan.</t>
  </si>
  <si>
    <t xml:space="preserve">USDA Rural Development program.</t>
  </si>
  <si>
    <t xml:space="preserve">Financial Lines &gt; Mortgage Insurance &gt; USDA Loan Guarantee Fee</t>
  </si>
  <si>
    <t xml:space="preserve">financial.title</t>
  </si>
  <si>
    <t xml:space="preserve">Title Insurance</t>
  </si>
  <si>
    <t xml:space="preserve">Protects against losses from defects in the legal ownership of real estate, such as unknown liens, forged deeds or missing heirs. Paid once at closing.</t>
  </si>
  <si>
    <t xml:space="preserve">A buyer is protected when an unknown heir claims the house.</t>
  </si>
  <si>
    <t xml:space="preserve">Rates are promulgated by the state in some states (e.g. Texas, New Mexico); Iowa prohibits private title insurance and uses a state title guaranty division.</t>
  </si>
  <si>
    <t xml:space="preserve">Financial Lines &gt; Title Insurance</t>
  </si>
  <si>
    <t xml:space="preserve">financial.title.owners_title</t>
  </si>
  <si>
    <t xml:space="preserve">Owner's Title Policy</t>
  </si>
  <si>
    <t xml:space="preserve">Protects the buyer's ownership stake for as long as they or their heirs own the property.</t>
  </si>
  <si>
    <t xml:space="preserve">A homeowner's title policy pays to defend against a forged deed claim.</t>
  </si>
  <si>
    <t xml:space="preserve">Financial Lines &gt; Title Insurance &gt; Owner's Title Policy</t>
  </si>
  <si>
    <t xml:space="preserve">financial.title.lenders_title</t>
  </si>
  <si>
    <t xml:space="preserve">Lender's (Loan) Title Policy</t>
  </si>
  <si>
    <t xml:space="preserve">Protects the lender's lien on the property up to the loan amount.</t>
  </si>
  <si>
    <t xml:space="preserve">A lender requires a loan policy before funding the mortgage.</t>
  </si>
  <si>
    <t xml:space="preserve">Required by virtually all mortgage lenders.</t>
  </si>
  <si>
    <t xml:space="preserve">Financial Lines &gt; Title Insurance &gt; Lender's (Loan) Title Policy</t>
  </si>
  <si>
    <t xml:space="preserve">financial.title.alta_endorsements</t>
  </si>
  <si>
    <t xml:space="preserve">ALTA Endorsements</t>
  </si>
  <si>
    <t xml:space="preserve">Standard add-ons from the American Land Title Association covering specific issues like zoning, access or environmental liens.</t>
  </si>
  <si>
    <t xml:space="preserve">A commercial buyer adds a zoning endorsement.</t>
  </si>
  <si>
    <t xml:space="preserve">ALTA forms are used in most states; Texas and some others use their own forms.</t>
  </si>
  <si>
    <t xml:space="preserve">Financial Lines &gt; Title Insurance &gt; ALTA Endorsements</t>
  </si>
  <si>
    <t xml:space="preserve">financial.surety</t>
  </si>
  <si>
    <t xml:space="preserve">Surety Bonds</t>
  </si>
  <si>
    <t xml:space="preserve">A three-party guarantee: the surety promises the obligee (e.g. a project owner or government) that the principal (e.g. a contractor) will fulfil an obligation. Unlike insurance, the surety expects to be repaid by the principal for any loss.</t>
  </si>
  <si>
    <t xml:space="preserve">A builder's bond pays to finish a school when the builder goes bust.</t>
  </si>
  <si>
    <t xml:space="preserve">Federal construction projects over $150,000 require performance and payment bonds under the Miller Act; states have "Little Miller Acts".</t>
  </si>
  <si>
    <t xml:space="preserve">Financial Lines &gt; Surety Bonds</t>
  </si>
  <si>
    <t xml:space="preserve">financial.surety.contract</t>
  </si>
  <si>
    <t xml:space="preserve">Contract Surety</t>
  </si>
  <si>
    <t xml:space="preserve">Construction bonds</t>
  </si>
  <si>
    <t xml:space="preserve">Bonds guaranteeing construction contracts.</t>
  </si>
  <si>
    <t xml:space="preserve">A contractor bonds a highway project.</t>
  </si>
  <si>
    <t xml:space="preserve">Financial Lines &gt; Surety Bonds &gt; Contract Surety</t>
  </si>
  <si>
    <t xml:space="preserve">financial.surety.contract.bid</t>
  </si>
  <si>
    <t xml:space="preserve">Bid Bond</t>
  </si>
  <si>
    <t xml:space="preserve">Guarantees a contractor will sign the contract and provide bonds if it wins the bid.</t>
  </si>
  <si>
    <t xml:space="preserve">A contractor submits a 10% bid bond with its tender.</t>
  </si>
  <si>
    <t xml:space="preserve">Financial Lines &gt; Surety Bonds &gt; Contract Surety &gt; Bid Bond</t>
  </si>
  <si>
    <t xml:space="preserve">financial.surety.contract.performance</t>
  </si>
  <si>
    <t xml:space="preserve">Performance Bond</t>
  </si>
  <si>
    <t xml:space="preserve">Guarantees the contractor will complete the project according to the contract.</t>
  </si>
  <si>
    <t xml:space="preserve">The surety hires a new contractor after the original one fails.</t>
  </si>
  <si>
    <t xml:space="preserve">Financial Lines &gt; Surety Bonds &gt; Contract Surety &gt; Performance Bond</t>
  </si>
  <si>
    <t xml:space="preserve">financial.surety.contract.payment</t>
  </si>
  <si>
    <t xml:space="preserve">Payment Bond</t>
  </si>
  <si>
    <t xml:space="preserve">Labor and material bond</t>
  </si>
  <si>
    <t xml:space="preserve">Guarantees subcontractors and suppliers will be paid.</t>
  </si>
  <si>
    <t xml:space="preserve">Unpaid subcontractors on a public project are paid by the surety.</t>
  </si>
  <si>
    <t xml:space="preserve">Financial Lines &gt; Surety Bonds &gt; Contract Surety &gt; Payment Bond</t>
  </si>
  <si>
    <t xml:space="preserve">financial.surety.contract.maintenance</t>
  </si>
  <si>
    <t xml:space="preserve">Maintenance / Warranty Bond</t>
  </si>
  <si>
    <t xml:space="preserve">Guarantees defects found after completion will be fixed.</t>
  </si>
  <si>
    <t xml:space="preserve">A cracked road surface is repaired in year one.</t>
  </si>
  <si>
    <t xml:space="preserve">Financial Lines &gt; Surety Bonds &gt; Contract Surety &gt; Maintenance / Warranty Bond</t>
  </si>
  <si>
    <t xml:space="preserve">financial.surety.commercial_surety</t>
  </si>
  <si>
    <t xml:space="preserve">Commercial Surety</t>
  </si>
  <si>
    <t xml:space="preserve">Non-contract bonds</t>
  </si>
  <si>
    <t xml:space="preserve">Bonds required by laws, courts or contracts outside construction.</t>
  </si>
  <si>
    <t xml:space="preserve">A car dealer posts a bond to get a license.</t>
  </si>
  <si>
    <t xml:space="preserve">Financial Lines &gt; Surety Bonds &gt; Commercial Surety</t>
  </si>
  <si>
    <t xml:space="preserve">financial.surety.commercial_surety.license_permit</t>
  </si>
  <si>
    <t xml:space="preserve">License &amp; Permit Bonds</t>
  </si>
  <si>
    <t xml:space="preserve">Required by states or cities before a business can get a license, guaranteeing it follows the law.</t>
  </si>
  <si>
    <t xml:space="preserve">A mortgage broker posts a state license bond.</t>
  </si>
  <si>
    <t xml:space="preserve">Financial Lines &gt; Surety Bonds &gt; Commercial Surety &gt; License &amp; Permit Bonds</t>
  </si>
  <si>
    <t xml:space="preserve">financial.surety.commercial_surety.court</t>
  </si>
  <si>
    <t xml:space="preserve">Court / Judicial Bonds</t>
  </si>
  <si>
    <t xml:space="preserve">Required in legal proceedings, such as appeal bonds and bonds for estate executors.</t>
  </si>
  <si>
    <t xml:space="preserve">An executor posts a probate bond.</t>
  </si>
  <si>
    <t xml:space="preserve">Financial Lines &gt; Surety Bonds &gt; Commercial Surety &gt; Court / Judicial Bonds</t>
  </si>
  <si>
    <t xml:space="preserve">financial.surety.commercial_surety.bail</t>
  </si>
  <si>
    <t xml:space="preserve">Bail Bonds</t>
  </si>
  <si>
    <t xml:space="preserve">Guarantees a defendant will appear in court; usually arranged by a bail bond agent for a non-refundable fee.</t>
  </si>
  <si>
    <t xml:space="preserve">A defendant's family pays a bail agent 10% of the bail amount.</t>
  </si>
  <si>
    <t xml:space="preserve">Commercial bail bonds are banned or restricted in some states (e.g. Illinois, Kentucky, Oregon, Wisconsin).</t>
  </si>
  <si>
    <t xml:space="preserve">Financial Lines &gt; Surety Bonds &gt; Commercial Surety &gt; Bail Bonds</t>
  </si>
  <si>
    <t xml:space="preserve">financial.surety.commercial_surety.public_official</t>
  </si>
  <si>
    <t xml:space="preserve">Public Official Bonds</t>
  </si>
  <si>
    <t xml:space="preserve">Guarantees elected or appointed officials will perform their duties honestly.</t>
  </si>
  <si>
    <t xml:space="preserve">A county treasurer is bonded.</t>
  </si>
  <si>
    <t xml:space="preserve">Financial Lines &gt; Surety Bonds &gt; Commercial Surety &gt; Public Official Bonds</t>
  </si>
  <si>
    <t xml:space="preserve">financial.surety.commercial_surety.customs</t>
  </si>
  <si>
    <t xml:space="preserve">Customs Bonds</t>
  </si>
  <si>
    <t xml:space="preserve">Guarantees importers will pay duties and follow US Customs rules.</t>
  </si>
  <si>
    <t xml:space="preserve">An importer buys a continuous customs bond.</t>
  </si>
  <si>
    <t xml:space="preserve">Required by US Customs and Border Protection.</t>
  </si>
  <si>
    <t xml:space="preserve">Financial Lines &gt; Surety Bonds &gt; Commercial Surety &gt; Customs Bonds</t>
  </si>
  <si>
    <t xml:space="preserve">financial.surety.commercial_surety.notary</t>
  </si>
  <si>
    <t xml:space="preserve">Notary Bonds</t>
  </si>
  <si>
    <t xml:space="preserve">Protects the public against a notary's errors or misconduct.</t>
  </si>
  <si>
    <t xml:space="preserve">A notary buys a bond required by the state.</t>
  </si>
  <si>
    <t xml:space="preserve">Required in many states.</t>
  </si>
  <si>
    <t xml:space="preserve">Financial Lines &gt; Surety Bonds &gt; Commercial Surety &gt; Notary Bonds</t>
  </si>
  <si>
    <t xml:space="preserve">financial.fidelity</t>
  </si>
  <si>
    <t xml:space="preserve">Fidelity &amp; Crime</t>
  </si>
  <si>
    <t xml:space="preserve">Commercial crime; Fidelity bonds</t>
  </si>
  <si>
    <t xml:space="preserve">Protects a business from theft of money or property by employees or outsiders, including fraud and forgery.</t>
  </si>
  <si>
    <t xml:space="preserve">A bookkeeper embezzles $200,000 and the crime policy reimburses the company.</t>
  </si>
  <si>
    <t xml:space="preserve">Financial Lines &gt; Fidelity &amp; Crime</t>
  </si>
  <si>
    <t xml:space="preserve">financial.fidelity.employee_theft</t>
  </si>
  <si>
    <t xml:space="preserve">Employee Theft</t>
  </si>
  <si>
    <t xml:space="preserve">Employee dishonesty</t>
  </si>
  <si>
    <t xml:space="preserve">Covers theft of money, securities or property by employees.</t>
  </si>
  <si>
    <t xml:space="preserve">A warehouse manager steals inventory.</t>
  </si>
  <si>
    <t xml:space="preserve">Financial Lines &gt; Fidelity &amp; Crime &gt; Employee Theft</t>
  </si>
  <si>
    <t xml:space="preserve">financial.fidelity.erisa_bond</t>
  </si>
  <si>
    <t xml:space="preserve">ERISA Fidelity Bond</t>
  </si>
  <si>
    <t xml:space="preserve">A bond required for people who handle employee benefit plan money, protecting the plan against their theft.</t>
  </si>
  <si>
    <t xml:space="preserve">A 401(k) plan is bonded for 10% of its assets.</t>
  </si>
  <si>
    <t xml:space="preserve">Required by ERISA Section 412 (generally 10% of plan assets, up to $500,000 or $1 million for plans with employer securities).</t>
  </si>
  <si>
    <t xml:space="preserve">Financial Lines &gt; Fidelity &amp; Crime &gt; ERISA Fidelity Bond</t>
  </si>
  <si>
    <t xml:space="preserve">financial.fidelity.forgery</t>
  </si>
  <si>
    <t xml:space="preserve">Forgery or Alteration</t>
  </si>
  <si>
    <t xml:space="preserve">Covers losses from forged or altered checks and similar documents.</t>
  </si>
  <si>
    <t xml:space="preserve">A forged company check is cashed.</t>
  </si>
  <si>
    <t xml:space="preserve">Financial Lines &gt; Fidelity &amp; Crime &gt; Forgery or Alteration</t>
  </si>
  <si>
    <t xml:space="preserve">financial.fidelity.computer_fraud</t>
  </si>
  <si>
    <t xml:space="preserve">Computer &amp; Funds Transfer Fraud</t>
  </si>
  <si>
    <t xml:space="preserve">Covers theft through hacking into systems or fraudulent transfer instructions sent to your bank.</t>
  </si>
  <si>
    <t xml:space="preserve">A hacker instructs the bank to wire funds overseas.</t>
  </si>
  <si>
    <t xml:space="preserve">Financial Lines &gt; Fidelity &amp; Crime &gt; Computer &amp; Funds Transfer Fraud</t>
  </si>
  <si>
    <t xml:space="preserve">financial.fidelity.third_party_crime</t>
  </si>
  <si>
    <t xml:space="preserve">Third-Party (Client Property) Crime</t>
  </si>
  <si>
    <t xml:space="preserve">Covers theft of a client's property by your employees.</t>
  </si>
  <si>
    <t xml:space="preserve">A janitorial worker steals from a client's office.</t>
  </si>
  <si>
    <t xml:space="preserve">Financial Lines &gt; Fidelity &amp; Crime &gt; Third-Party (Client Property) Crime</t>
  </si>
  <si>
    <t xml:space="preserve">financial.fidelity.janitorial_bond</t>
  </si>
  <si>
    <t xml:space="preserve">Business Service Bond</t>
  </si>
  <si>
    <t xml:space="preserve">Janitorial bond</t>
  </si>
  <si>
    <t xml:space="preserve">A bond small service firms buy to reassure clients against employee theft.</t>
  </si>
  <si>
    <t xml:space="preserve">A cleaning company advertises that it is bonded.</t>
  </si>
  <si>
    <t xml:space="preserve">Financial Lines &gt; Fidelity &amp; Crime &gt; Business Service Bond</t>
  </si>
  <si>
    <t xml:space="preserve">financial.fidelity.financial_institution_bond</t>
  </si>
  <si>
    <t xml:space="preserve">Financial Institution Bond</t>
  </si>
  <si>
    <t xml:space="preserve">Bankers blanket bond</t>
  </si>
  <si>
    <t xml:space="preserve">Crime cover designed for banks, credit unions and brokerages.</t>
  </si>
  <si>
    <t xml:space="preserve">A bank teller's theft is covered.</t>
  </si>
  <si>
    <t xml:space="preserve">Standard forms from the Surety &amp; Fidelity Association of America (SFAA). Credit unions must carry it under NCUA rules.</t>
  </si>
  <si>
    <t xml:space="preserve">Financial Lines &gt; Fidelity &amp; Crime &gt; Financial Institution Bond</t>
  </si>
  <si>
    <t xml:space="preserve">financial.financial_guaranty</t>
  </si>
  <si>
    <t xml:space="preserve">Financial Guaranty Insurance</t>
  </si>
  <si>
    <t xml:space="preserve">Bond insurance; Municipal bond insurance</t>
  </si>
  <si>
    <t xml:space="preserve">Guarantees timely payment of principal and interest on bonds if the issuer defaults.</t>
  </si>
  <si>
    <t xml:space="preserve">A city's school bonds are insured so they earn a higher credit rating.</t>
  </si>
  <si>
    <t xml:space="preserve">Written by monoline insurers (e.g. Assured Guaranty, Build America Mutual); New York Insurance Law Article 69 restricts it to monolines.</t>
  </si>
  <si>
    <t xml:space="preserve">Financial Lines &gt; Financial Guaranty Insurance</t>
  </si>
  <si>
    <t xml:space="preserve">agriculture</t>
  </si>
  <si>
    <t xml:space="preserve">Agricultural &amp; Crop Insurance</t>
  </si>
  <si>
    <t xml:space="preserve">Farm insurance; Ag insurance</t>
  </si>
  <si>
    <t xml:space="preserve">Protects farmers and ranchers against crop losses, falling revenue, livestock deaths and farm property damage.</t>
  </si>
  <si>
    <t xml:space="preserve">A corn farmer is paid when drought cuts the harvest in half.</t>
  </si>
  <si>
    <t xml:space="preserve">Most US crop insurance is the Federal Crop Insurance Program: sold and serviced by private Approved Insurance Providers, with premiums subsidized and reinsured by USDA's Risk Management Agency (RMA) through the Federal Crop Insurance Corporation (FCIC).</t>
  </si>
  <si>
    <t xml:space="preserve">agriculture.federal_crop</t>
  </si>
  <si>
    <t xml:space="preserve">Federal Crop Insurance (MPCI)</t>
  </si>
  <si>
    <t xml:space="preserve">Multiple Peril Crop Insurance</t>
  </si>
  <si>
    <t xml:space="preserve">Federally subsidized policies covering crop losses from natural causes like drought, flood, hail, disease and price drops.</t>
  </si>
  <si>
    <t xml:space="preserve">A soybean farmer buys revenue protection at 75% coverage.</t>
  </si>
  <si>
    <t xml:space="preserve">Sales closing dates and coverage levels (50%-85%) set by RMA; premium subsidies average roughly 60%.</t>
  </si>
  <si>
    <t xml:space="preserve">Agricultural &amp; Crop Insurance &gt; Federal Crop Insurance (MPCI)</t>
  </si>
  <si>
    <t xml:space="preserve">agriculture.federal_crop.yield_protection</t>
  </si>
  <si>
    <t xml:space="preserve">Yield Protection (YP)</t>
  </si>
  <si>
    <t xml:space="preserve">APH yield coverage</t>
  </si>
  <si>
    <t xml:space="preserve">Pays when harvested yield falls below a guaranteed level based on the farm's actual production history (APH).</t>
  </si>
  <si>
    <t xml:space="preserve">A wheat farmer's yield falls from 50 to 30 bushels per acre and the shortfall is paid.</t>
  </si>
  <si>
    <t xml:space="preserve">Agricultural &amp; Crop Insurance &gt; Federal Crop Insurance (MPCI) &gt; Yield Protection (YP)</t>
  </si>
  <si>
    <t xml:space="preserve">agriculture.federal_crop.revenue_protection</t>
  </si>
  <si>
    <t xml:space="preserve">Revenue Protection (RP)</t>
  </si>
  <si>
    <t xml:space="preserve">Pays when revenue falls below a guarantee because of low yield, low prices or both; the guarantee rises if harvest prices go up.</t>
  </si>
  <si>
    <t xml:space="preserve">A corn farmer is paid when both yield and price fall.</t>
  </si>
  <si>
    <t xml:space="preserve">The most popular federal crop policy, covering the majority of insured acres.</t>
  </si>
  <si>
    <t xml:space="preserve">Agricultural &amp; Crop Insurance &gt; Federal Crop Insurance (MPCI) &gt; Revenue Protection (RP)</t>
  </si>
  <si>
    <t xml:space="preserve">agriculture.federal_crop.revenue_protection.rp_hpe</t>
  </si>
  <si>
    <t xml:space="preserve">Revenue Protection with Harvest Price Exclusion (RP-HPE)</t>
  </si>
  <si>
    <t xml:space="preserve">Like RP, but the guarantee does not rise if harvest prices increase; cheaper.</t>
  </si>
  <si>
    <t xml:space="preserve">A farmer picks RP-HPE to save on premium.</t>
  </si>
  <si>
    <t xml:space="preserve">Agricultural &amp; Crop Insurance &gt; Federal Crop Insurance (MPCI) &gt; Revenue Protection (RP) &gt; Revenue Protection with Harvest Price Exclusion (RP-HPE)</t>
  </si>
  <si>
    <t xml:space="preserve">agriculture.federal_crop.area_plans</t>
  </si>
  <si>
    <t xml:space="preserve">Area-Based Plans</t>
  </si>
  <si>
    <t xml:space="preserve">Pay when yield or revenue for the whole county falls, not the individual farm.</t>
  </si>
  <si>
    <t xml:space="preserve">Farmers in a county are paid when the county average yield drops.</t>
  </si>
  <si>
    <t xml:space="preserve">Agricultural &amp; Crop Insurance &gt; Federal Crop Insurance (MPCI) &gt; Area-Based Plans</t>
  </si>
  <si>
    <t xml:space="preserve">agriculture.federal_crop.area_plans.ayp</t>
  </si>
  <si>
    <t xml:space="preserve">Area Yield Protection (AYP)</t>
  </si>
  <si>
    <t xml:space="preserve">Pays when the county's average yield falls below a trigger.</t>
  </si>
  <si>
    <t xml:space="preserve">A county drought triggers payments to all AYP policyholders.</t>
  </si>
  <si>
    <t xml:space="preserve">Agricultural &amp; Crop Insurance &gt; Federal Crop Insurance (MPCI) &gt; Area-Based Plans &gt; Area Yield Protection (AYP)</t>
  </si>
  <si>
    <t xml:space="preserve">agriculture.federal_crop.area_plans.arp</t>
  </si>
  <si>
    <t xml:space="preserve">Area Revenue Protection (ARP)</t>
  </si>
  <si>
    <t xml:space="preserve">Pays when the county's average revenue falls below a trigger.</t>
  </si>
  <si>
    <t xml:space="preserve">Low prices and yields trigger county-wide payments.</t>
  </si>
  <si>
    <t xml:space="preserve">Agricultural &amp; Crop Insurance &gt; Federal Crop Insurance (MPCI) &gt; Area-Based Plans &gt; Area Revenue Protection (ARP)</t>
  </si>
  <si>
    <t xml:space="preserve">agriculture.federal_crop.supplemental_coverage</t>
  </si>
  <si>
    <t xml:space="preserve">Supplemental &amp; Enhanced Coverage Options</t>
  </si>
  <si>
    <t xml:space="preserve">SCO; ECO</t>
  </si>
  <si>
    <t xml:space="preserve">Area-based add-ons that cover part of the deductible on an individual crop policy.</t>
  </si>
  <si>
    <t xml:space="preserve">A farmer adds SCO to cover losses between 86% and their 75% policy level.</t>
  </si>
  <si>
    <t xml:space="preserve">SCO was created by the 2014 Farm Bill; ECO added by RMA in 2021.</t>
  </si>
  <si>
    <t xml:space="preserve">Agricultural &amp; Crop Insurance &gt; Federal Crop Insurance (MPCI) &gt; Supplemental &amp; Enhanced Coverage Options</t>
  </si>
  <si>
    <t xml:space="preserve">agriculture.federal_crop.catastrophic</t>
  </si>
  <si>
    <t xml:space="preserve">Catastrophic Coverage (CAT)</t>
  </si>
  <si>
    <t xml:space="preserve">Basic cover at 50% of yield and 55% of price, with the premium fully paid by the government; the farmer pays only an administrative fee.</t>
  </si>
  <si>
    <t xml:space="preserve">A small farm takes CAT for a $655 administrative fee per crop per county.</t>
  </si>
  <si>
    <t xml:space="preserve">Agricultural &amp; Crop Insurance &gt; Federal Crop Insurance (MPCI) &gt; Catastrophic Coverage (CAT)</t>
  </si>
  <si>
    <t xml:space="preserve">agriculture.federal_crop.whole_farm</t>
  </si>
  <si>
    <t xml:space="preserve">Whole-Farm Revenue Protection (WFRP)</t>
  </si>
  <si>
    <t xml:space="preserve">Covers the revenue of the whole farm under one policy, suited to diversified or specialty crop farms.</t>
  </si>
  <si>
    <t xml:space="preserve">An organic vegetable farm with 20 crops insures total revenue.</t>
  </si>
  <si>
    <t xml:space="preserve">Agricultural &amp; Crop Insurance &gt; Federal Crop Insurance (MPCI) &gt; Whole-Farm Revenue Protection (WFRP)</t>
  </si>
  <si>
    <t xml:space="preserve">agriculture.federal_crop.micro_farm</t>
  </si>
  <si>
    <t xml:space="preserve">Micro Farm Policy</t>
  </si>
  <si>
    <t xml:space="preserve">A simplified whole-farm policy for small farms with up to $350,000 in revenue.</t>
  </si>
  <si>
    <t xml:space="preserve">A small market-garden farm buys Micro Farm cover.</t>
  </si>
  <si>
    <t xml:space="preserve">Agricultural &amp; Crop Insurance &gt; Federal Crop Insurance (MPCI) &gt; Micro Farm Policy</t>
  </si>
  <si>
    <t xml:space="preserve">agriculture.federal_crop.prf</t>
  </si>
  <si>
    <t xml:space="preserve">Pasture, Rangeland &amp; Forage (PRF)</t>
  </si>
  <si>
    <t xml:space="preserve">Index-based cover that pays ranchers when rainfall in their grid area falls below normal.</t>
  </si>
  <si>
    <t xml:space="preserve">A Texas rancher is paid when rainfall is 40% below average for two months.</t>
  </si>
  <si>
    <t xml:space="preserve">A parametric, rainfall-index policy.</t>
  </si>
  <si>
    <t xml:space="preserve">Agricultural &amp; Crop Insurance &gt; Federal Crop Insurance (MPCI) &gt; Pasture, Rangeland &amp; Forage (PRF)</t>
  </si>
  <si>
    <t xml:space="preserve">agriculture.federal_crop.dollar_plan</t>
  </si>
  <si>
    <t xml:space="preserve">Dollar Plan &amp; Specialty Crop Policies</t>
  </si>
  <si>
    <t xml:space="preserve">Crop-specific policies for fruits, nuts and nursery stock, often insuring a dollar amount per acre.</t>
  </si>
  <si>
    <t xml:space="preserve">An apple orchard insures against a spring freeze.</t>
  </si>
  <si>
    <t xml:space="preserve">Agricultural &amp; Crop Insurance &gt; Federal Crop Insurance (MPCI) &gt; Dollar Plan &amp; Specialty Crop Policies</t>
  </si>
  <si>
    <t xml:space="preserve">agriculture.crop_hail</t>
  </si>
  <si>
    <t xml:space="preserve">Crop-Hail Insurance</t>
  </si>
  <si>
    <t xml:space="preserve">Private policies that pay for hail and fire damage to crops per acre, without the federal program's deductibles.</t>
  </si>
  <si>
    <t xml:space="preserve">A wheat farmer is paid for hail damage on 40 acres.</t>
  </si>
  <si>
    <t xml:space="preserve">Not federally subsidized; often bought alongside MPCI.</t>
  </si>
  <si>
    <t xml:space="preserve">Agricultural &amp; Crop Insurance &gt; Crop-Hail Insurance</t>
  </si>
  <si>
    <t xml:space="preserve">agriculture.named_peril_private</t>
  </si>
  <si>
    <t xml:space="preserve">Private Named-Peril Crop</t>
  </si>
  <si>
    <t xml:space="preserve">Private cover for specific perils or crops the federal program doesn't handle well.</t>
  </si>
  <si>
    <t xml:space="preserve">A farmer buys private wind cover for sugarcane.</t>
  </si>
  <si>
    <t xml:space="preserve">Agricultural &amp; Crop Insurance &gt; Private Named-Peril Crop</t>
  </si>
  <si>
    <t xml:space="preserve">agriculture.livestock</t>
  </si>
  <si>
    <t xml:space="preserve">Livestock Insurance</t>
  </si>
  <si>
    <t xml:space="preserve">Protects livestock producers against animal deaths or falling prices and margins.</t>
  </si>
  <si>
    <t xml:space="preserve">A rancher's prize bull dies and is paid for.</t>
  </si>
  <si>
    <t xml:space="preserve">Agricultural &amp; Crop Insurance &gt; Livestock Insurance</t>
  </si>
  <si>
    <t xml:space="preserve">agriculture.livestock.livestock_mortality</t>
  </si>
  <si>
    <t xml:space="preserve">Livestock Mortality</t>
  </si>
  <si>
    <t xml:space="preserve">Pays when insured animals die from accident, illness or disease.</t>
  </si>
  <si>
    <t xml:space="preserve">A dairy farm is paid after a barn fire kills cows.</t>
  </si>
  <si>
    <t xml:space="preserve">Agricultural &amp; Crop Insurance &gt; Livestock Insurance &gt; Livestock Mortality</t>
  </si>
  <si>
    <t xml:space="preserve">agriculture.livestock.lrp</t>
  </si>
  <si>
    <t xml:space="preserve">Livestock Risk Protection (LRP)</t>
  </si>
  <si>
    <t xml:space="preserve">Federal price insurance that pays if livestock prices fall below a chosen level.</t>
  </si>
  <si>
    <t xml:space="preserve">A cattle feeder is paid when feeder cattle prices fall.</t>
  </si>
  <si>
    <t xml:space="preserve">Covers feeder cattle, fed cattle, swine and lamb.</t>
  </si>
  <si>
    <t xml:space="preserve">Agricultural &amp; Crop Insurance &gt; Livestock Insurance &gt; Livestock Risk Protection (LRP)</t>
  </si>
  <si>
    <t xml:space="preserve">agriculture.livestock.lgm</t>
  </si>
  <si>
    <t xml:space="preserve">Livestock Gross Margin (LGM)</t>
  </si>
  <si>
    <t xml:space="preserve">Federal cover that pays when the margin between livestock prices and feed costs falls.</t>
  </si>
  <si>
    <t xml:space="preserve">A hog producer is paid when feed costs rise and hog prices fall.</t>
  </si>
  <si>
    <t xml:space="preserve">Agricultural &amp; Crop Insurance &gt; Livestock Insurance &gt; Livestock Gross Margin (LGM)</t>
  </si>
  <si>
    <t xml:space="preserve">agriculture.livestock.drp</t>
  </si>
  <si>
    <t xml:space="preserve">Dairy Revenue Protection (DRP)</t>
  </si>
  <si>
    <t xml:space="preserve">Federal cover against unexpected falls in the value of milk production.</t>
  </si>
  <si>
    <t xml:space="preserve">A dairy farm is paid when milk prices drop.</t>
  </si>
  <si>
    <t xml:space="preserve">Agricultural &amp; Crop Insurance &gt; Livestock Insurance &gt; Dairy Revenue Protection (DRP)</t>
  </si>
  <si>
    <t xml:space="preserve">agriculture.aquaculture</t>
  </si>
  <si>
    <t xml:space="preserve">Aquaculture Insurance</t>
  </si>
  <si>
    <t xml:space="preserve">Covers fish and shellfish farms against stock loss from disease, storms or equipment failure.</t>
  </si>
  <si>
    <t xml:space="preserve">An oyster farm loses stock after a harmful algal bloom.</t>
  </si>
  <si>
    <t xml:space="preserve">Agricultural &amp; Crop Insurance &gt; Aquaculture Insurance</t>
  </si>
  <si>
    <t xml:space="preserve">agriculture.forestry</t>
  </si>
  <si>
    <t xml:space="preserve">Forestry / Timber Insurance</t>
  </si>
  <si>
    <t xml:space="preserve">Standing timber insurance</t>
  </si>
  <si>
    <t xml:space="preserve">Covers standing timber against fire, wind and other perils.</t>
  </si>
  <si>
    <t xml:space="preserve">A timberland owner insures pine plantations against wildfire.</t>
  </si>
  <si>
    <t xml:space="preserve">Agricultural &amp; Crop Insurance &gt; Forestry / Timber Insurance</t>
  </si>
  <si>
    <t xml:space="preserve">agriculture.farm_liability</t>
  </si>
  <si>
    <t xml:space="preserve">Farm &amp; Ranch Liability</t>
  </si>
  <si>
    <t xml:space="preserve">Farm liability</t>
  </si>
  <si>
    <t xml:space="preserve">Liability for farm operations, such as injuries to visitors or damage from livestock straying onto roads.</t>
  </si>
  <si>
    <t xml:space="preserve">Escaped cattle cause a car crash and the farm is sued.</t>
  </si>
  <si>
    <t xml:space="preserve">Many states have agritourism liability shield laws.</t>
  </si>
  <si>
    <t xml:space="preserve">Agricultural &amp; Crop Insurance &gt; Farm &amp; Ranch Liability</t>
  </si>
  <si>
    <t xml:space="preserve">agriculture.federal_disaster_programs</t>
  </si>
  <si>
    <t xml:space="preserve">USDA Disaster Assistance (Non-Insurance)</t>
  </si>
  <si>
    <t xml:space="preserve">NAP; ELAP; LIP</t>
  </si>
  <si>
    <t xml:space="preserve">USDA programs that help farmers after disasters, including the Noninsured Crop Disaster Assistance Program (NAP) for crops without federal insurance.</t>
  </si>
  <si>
    <t xml:space="preserve">A grower of a niche herb with no crop policy gets NAP payments after a freeze.</t>
  </si>
  <si>
    <t xml:space="preserve">Run by USDA's Farm Service Agency; not insurance but works alongside it.</t>
  </si>
  <si>
    <t xml:space="preserve">Agricultural &amp; Crop Insurance &gt; USDA Disaster Assistance (Non-Insurance)</t>
  </si>
  <si>
    <t xml:space="preserve">social</t>
  </si>
  <si>
    <t xml:space="preserve">Social &amp; Government Programs</t>
  </si>
  <si>
    <t xml:space="preserve">Social insurance; Public programs</t>
  </si>
  <si>
    <t xml:space="preserve">Insurance-like protection provided or required by federal and state governments, usually funded by payroll taxes or general taxes.</t>
  </si>
  <si>
    <t xml:space="preserve">A retiree receives Social Security checks and uses Medicare for doctor visits.</t>
  </si>
  <si>
    <t xml:space="preserve">Some programs are federal (Social Security, Medicare), some joint federal-state (Medicaid, CHIP, unemployment), and some purely state (state disability programs).</t>
  </si>
  <si>
    <t xml:space="preserve">social.social_security</t>
  </si>
  <si>
    <t xml:space="preserve">Social Security (OASDI)</t>
  </si>
  <si>
    <t xml:space="preserve">Old-Age, Survivors and Disability Insurance</t>
  </si>
  <si>
    <t xml:space="preserve">The federal program funded by payroll (FICA) taxes that pays retirement, survivor and disability benefits based on your work record.</t>
  </si>
  <si>
    <t xml:space="preserve">A 67-year-old retiree receives a monthly benefit based on 40 years of earnings.</t>
  </si>
  <si>
    <t xml:space="preserve">Administered by the Social Security Administration (SSA). Workers generally need 40 credits (about 10 years of work) for retirement benefits.</t>
  </si>
  <si>
    <t xml:space="preserve">Social &amp; Government Programs &gt; Social Security (OASDI)</t>
  </si>
  <si>
    <t xml:space="preserve">social.social_security.retirement</t>
  </si>
  <si>
    <t xml:space="preserve">Retirement Benefits (OASI)</t>
  </si>
  <si>
    <t xml:space="preserve">Old-age insurance</t>
  </si>
  <si>
    <t xml:space="preserve">Monthly income for retired workers and their spouses, with full benefits at full retirement age (67 for those born 1960 or later).</t>
  </si>
  <si>
    <t xml:space="preserve">A worker claims reduced benefits at 62 or waits until 70 for a larger amount.</t>
  </si>
  <si>
    <t xml:space="preserve">Social &amp; Government Programs &gt; Social Security (OASDI) &gt; Retirement Benefits (OASI)</t>
  </si>
  <si>
    <t xml:space="preserve">social.social_security.survivors</t>
  </si>
  <si>
    <t xml:space="preserve">Survivors Benefits</t>
  </si>
  <si>
    <t xml:space="preserve">Monthly payments to the widow(er), children or dependent parents of a deceased worker.</t>
  </si>
  <si>
    <t xml:space="preserve">A widow and two children receive monthly benefits after the father dies.</t>
  </si>
  <si>
    <t xml:space="preserve">Social &amp; Government Programs &gt; Social Security (OASDI) &gt; Survivors Benefits</t>
  </si>
  <si>
    <t xml:space="preserve">social.social_security.ssdi</t>
  </si>
  <si>
    <t xml:space="preserve">Social Security Disability Insurance (SSDI)</t>
  </si>
  <si>
    <t xml:space="preserve">Monthly benefits for workers who can't do any substantial work because of a severe disability expected to last at least 12 months or result in death.</t>
  </si>
  <si>
    <t xml:space="preserve">A warehouse worker with a spinal injury receives SSDI after a 5-month waiting period.</t>
  </si>
  <si>
    <t xml:space="preserve">Medicare eligibility begins after 24 months of SSDI.</t>
  </si>
  <si>
    <t xml:space="preserve">Social &amp; Government Programs &gt; Social Security (OASDI) &gt; Social Security Disability Insurance (SSDI)</t>
  </si>
  <si>
    <t xml:space="preserve">social.social_security.ssi</t>
  </si>
  <si>
    <t xml:space="preserve">Supplemental Security Income (SSI)</t>
  </si>
  <si>
    <t xml:space="preserve">Needs-based monthly payments for low-income people who are aged, blind or disabled; funded from general taxes, not payroll taxes.</t>
  </si>
  <si>
    <t xml:space="preserve">A disabled adult with no work history receives SSI.</t>
  </si>
  <si>
    <t xml:space="preserve">Technically a welfare program, not insurance; also run by SSA.</t>
  </si>
  <si>
    <t xml:space="preserve">Social &amp; Government Programs &gt; Social Security (OASDI) &gt; Supplemental Security Income (SSI)</t>
  </si>
  <si>
    <t xml:space="preserve">social.medicare</t>
  </si>
  <si>
    <t xml:space="preserve">Medicare</t>
  </si>
  <si>
    <t xml:space="preserve">Federal health insurance for people 65 and older, and younger people with certain disabilities, ESRD or ALS.</t>
  </si>
  <si>
    <t xml:space="preserve">A 65-year-old enrolls in Medicare Parts A and B.</t>
  </si>
  <si>
    <t xml:space="preserve">Run by the Centers for Medicare &amp; Medicaid Services (CMS). Private Medicare Advantage, Part D and Medigap plans are under Health Insurance &gt; Private Medicare Plans.</t>
  </si>
  <si>
    <t xml:space="preserve">Social &amp; Government Programs &gt; Medicare</t>
  </si>
  <si>
    <t xml:space="preserve">social.medicare.part_a</t>
  </si>
  <si>
    <t xml:space="preserve">Part A (Hospital Insurance)</t>
  </si>
  <si>
    <t xml:space="preserve">HI</t>
  </si>
  <si>
    <t xml:space="preserve">Covers inpatient hospital stays, skilled nursing facility care, hospice and some home health care.</t>
  </si>
  <si>
    <t xml:space="preserve">A patient's 4-day hospital stay is covered after the Part A deductible.</t>
  </si>
  <si>
    <t xml:space="preserve">Premium-free for people with 40 quarters of work; funded by the Medicare payroll tax.</t>
  </si>
  <si>
    <t xml:space="preserve">Social &amp; Government Programs &gt; Medicare &gt; Part A (Hospital Insurance)</t>
  </si>
  <si>
    <t xml:space="preserve">social.medicare.part_b</t>
  </si>
  <si>
    <t xml:space="preserve">Part B (Medical Insurance)</t>
  </si>
  <si>
    <t xml:space="preserve">SMI</t>
  </si>
  <si>
    <t xml:space="preserve">Covers doctor visits, outpatient care, preventive services and medical equipment, with 20% coinsurance.</t>
  </si>
  <si>
    <t xml:space="preserve">A retiree's annual checkup and lab tests are covered.</t>
  </si>
  <si>
    <t xml:space="preserve">Monthly premium, with higher income-related premiums (IRMAA) for high earners. Late enrollment penalties apply.</t>
  </si>
  <si>
    <t xml:space="preserve">Social &amp; Government Programs &gt; Medicare &gt; Part B (Medical Insurance)</t>
  </si>
  <si>
    <t xml:space="preserve">social.medicare.part_c</t>
  </si>
  <si>
    <t xml:space="preserve">Part C (Medicare Advantage)</t>
  </si>
  <si>
    <t xml:space="preserve">MA</t>
  </si>
  <si>
    <t xml:space="preserve">The option to receive Medicare benefits through a private plan.</t>
  </si>
  <si>
    <t xml:space="preserve">A retiree chooses an MA plan instead of Original Medicare.</t>
  </si>
  <si>
    <t xml:space="preserve">See Health Insurance &gt; Private Medicare Plans.</t>
  </si>
  <si>
    <t xml:space="preserve">Social &amp; Government Programs &gt; Medicare &gt; Part C (Medicare Advantage)</t>
  </si>
  <si>
    <t xml:space="preserve">social.medicare.part_d</t>
  </si>
  <si>
    <t xml:space="preserve">Part D (Prescription Drugs)</t>
  </si>
  <si>
    <t xml:space="preserve">Prescription drug coverage provided through private plans approved by Medicare.</t>
  </si>
  <si>
    <t xml:space="preserve">A retiree enrolls in a Part D plan for their prescriptions.</t>
  </si>
  <si>
    <t xml:space="preserve">Social &amp; Government Programs &gt; Medicare &gt; Part D (Prescription Drugs)</t>
  </si>
  <si>
    <t xml:space="preserve">social.medicaid</t>
  </si>
  <si>
    <t xml:space="preserve">Medicaid</t>
  </si>
  <si>
    <t xml:space="preserve">Medi-Cal (California); MassHealth (Massachusetts); TennCare (Tennessee)</t>
  </si>
  <si>
    <t xml:space="preserve">Joint federal-state health coverage for people with low incomes, including children, pregnant women, seniors and people with disabilities. Also the main payer for nursing home care.</t>
  </si>
  <si>
    <t xml:space="preserve">A low-income family gets free doctor and hospital care.</t>
  </si>
  <si>
    <t xml:space="preserve">Each state runs its own program within federal rules; 40 states plus DC have expanded Medicaid under the ACA to adults up to 138% of the federal poverty level. Most enrollees are in private managed care plans contracted by the state.</t>
  </si>
  <si>
    <t xml:space="preserve">Social &amp; Government Programs &gt; Medicaid</t>
  </si>
  <si>
    <t xml:space="preserve">social.medicaid.medicaid_managed_care</t>
  </si>
  <si>
    <t xml:space="preserve">Medicaid Managed Care</t>
  </si>
  <si>
    <t xml:space="preserve">States contract with private health plans (MCOs) to deliver Medicaid benefits.</t>
  </si>
  <si>
    <t xml:space="preserve">A Medicaid enrollee picks among three managed care plans in their county.</t>
  </si>
  <si>
    <t xml:space="preserve">Social &amp; Government Programs &gt; Medicaid &gt; Medicaid Managed Care</t>
  </si>
  <si>
    <t xml:space="preserve">social.medicaid.medicaid_ltc</t>
  </si>
  <si>
    <t xml:space="preserve">Medicaid Long-Term Services &amp; Supports (LTSS)</t>
  </si>
  <si>
    <t xml:space="preserve">Pays for nursing home care and home and community-based services for eligible people with limited assets.</t>
  </si>
  <si>
    <t xml:space="preserve">A widow who has spent down her savings has nursing home costs paid.</t>
  </si>
  <si>
    <t xml:space="preserve">Subject to a 5-year look-back on asset transfers.</t>
  </si>
  <si>
    <t xml:space="preserve">Social &amp; Government Programs &gt; Medicaid &gt; Medicaid Long-Term Services &amp; Supports (LTSS)</t>
  </si>
  <si>
    <t xml:space="preserve">social.medicaid.dual_eligible</t>
  </si>
  <si>
    <t xml:space="preserve">Dual Eligibles</t>
  </si>
  <si>
    <t xml:space="preserve">Medi-Medi</t>
  </si>
  <si>
    <t xml:space="preserve">People enrolled in both Medicare and Medicaid; Medicaid helps pay Medicare premiums and cost sharing.</t>
  </si>
  <si>
    <t xml:space="preserve">A low-income 70-year-old has Medicare premiums paid by Medicaid.</t>
  </si>
  <si>
    <t xml:space="preserve">Social &amp; Government Programs &gt; Medicaid &gt; Dual Eligibles</t>
  </si>
  <si>
    <t xml:space="preserve">social.chip</t>
  </si>
  <si>
    <t xml:space="preserve">Children's Health Insurance Program (CHIP)</t>
  </si>
  <si>
    <t xml:space="preserve">CHIP; State names like Healthy Families</t>
  </si>
  <si>
    <t xml:space="preserve">Low-cost health coverage for children in families that earn too much for Medicaid but can't afford private insurance.</t>
  </si>
  <si>
    <t xml:space="preserve">Two children of a working family are covered through CHIP.</t>
  </si>
  <si>
    <t xml:space="preserve">Joint federal-state program; eligibility levels vary by state.</t>
  </si>
  <si>
    <t xml:space="preserve">Social &amp; Government Programs &gt; Children's Health Insurance Program (CHIP)</t>
  </si>
  <si>
    <t xml:space="preserve">social.unemployment</t>
  </si>
  <si>
    <t xml:space="preserve">Unemployment Insurance (UI)</t>
  </si>
  <si>
    <t xml:space="preserve">Unemployment compensation</t>
  </si>
  <si>
    <t xml:space="preserve">Pays temporary weekly benefits to workers who lose their jobs through no fault of their own.</t>
  </si>
  <si>
    <t xml:space="preserve">A laid-off factory worker receives weekly benefits for up to 26 weeks.</t>
  </si>
  <si>
    <t xml:space="preserve">Federal-state program funded mainly by employer payroll taxes (FUTA and state SUTA). Benefit amounts and duration set by each state.</t>
  </si>
  <si>
    <t xml:space="preserve">Social &amp; Government Programs &gt; Unemployment Insurance (UI)</t>
  </si>
  <si>
    <t xml:space="preserve">social.state_disability</t>
  </si>
  <si>
    <t xml:space="preserve">State Disability &amp; Paid Leave Programs</t>
  </si>
  <si>
    <t xml:space="preserve">TDI; Paid family and medical leave (PFML)</t>
  </si>
  <si>
    <t xml:space="preserve">State-run or state-mandated programs that pay partial wages for non-work illness, pregnancy or caring for family.</t>
  </si>
  <si>
    <t xml:space="preserve">A new mother in California receives disability and paid family leave benefits.</t>
  </si>
  <si>
    <t xml:space="preserve">Temporary disability programs exist in CA, HI, NJ, NY, RI and PR. A growing number of states (e.g. WA, MA, CT, OR, CO, MD, MN, DE, ME) have paid family and medical leave programs.</t>
  </si>
  <si>
    <t xml:space="preserve">Social &amp; Government Programs &gt; State Disability &amp; Paid Leave Programs</t>
  </si>
  <si>
    <t xml:space="preserve">social.workers_comp_systems</t>
  </si>
  <si>
    <t xml:space="preserve">State Workers' Compensation Systems</t>
  </si>
  <si>
    <t xml:space="preserve">Every state requires employers to provide workers' compensation benefits (Texas is optional); see Casualty &gt; Workers' Compensation for insurance products.</t>
  </si>
  <si>
    <t xml:space="preserve">A state workers' comp board resolves a disputed claim.</t>
  </si>
  <si>
    <t xml:space="preserve">Administered by state workers' comp boards or industrial commissions.</t>
  </si>
  <si>
    <t xml:space="preserve">Social &amp; Government Programs &gt; State Workers' Compensation Systems</t>
  </si>
  <si>
    <t xml:space="preserve">social.federal_programs</t>
  </si>
  <si>
    <t xml:space="preserve">Other Federal Insurance Programs</t>
  </si>
  <si>
    <t xml:space="preserve">Insurance programs run or backed by federal agencies.</t>
  </si>
  <si>
    <t xml:space="preserve">A bank depositor's money is protected by FDIC insurance.</t>
  </si>
  <si>
    <t xml:space="preserve">Social &amp; Government Programs &gt; Other Federal Insurance Programs</t>
  </si>
  <si>
    <t xml:space="preserve">social.federal_programs.fdic</t>
  </si>
  <si>
    <t xml:space="preserve">FDIC Deposit Insurance</t>
  </si>
  <si>
    <t xml:space="preserve">Protects bank deposits up to $250,000 per depositor, per bank, per ownership category if an insured bank fails.</t>
  </si>
  <si>
    <t xml:space="preserve">Depositors are repaid when their bank fails.</t>
  </si>
  <si>
    <t xml:space="preserve">Funded by premiums paid by banks. Credit unions have equivalent NCUA share insurance.</t>
  </si>
  <si>
    <t xml:space="preserve">Social &amp; Government Programs &gt; Other Federal Insurance Programs &gt; FDIC Deposit Insurance</t>
  </si>
  <si>
    <t xml:space="preserve">social.federal_programs.ncua</t>
  </si>
  <si>
    <t xml:space="preserve">NCUA Share Insurance</t>
  </si>
  <si>
    <t xml:space="preserve">NCUSIF</t>
  </si>
  <si>
    <t xml:space="preserve">Protects credit union deposits up to $250,000 per member, per institution, per ownership category.</t>
  </si>
  <si>
    <t xml:space="preserve">Members are repaid when a credit union fails.</t>
  </si>
  <si>
    <t xml:space="preserve">Social &amp; Government Programs &gt; Other Federal Insurance Programs &gt; NCUA Share Insurance</t>
  </si>
  <si>
    <t xml:space="preserve">social.federal_programs.sipc</t>
  </si>
  <si>
    <t xml:space="preserve">SIPC Protection</t>
  </si>
  <si>
    <t xml:space="preserve">Protects brokerage customers up to $500,000 (including $250,000 cash) if a broker-dealer fails and customer assets are missing. It does not protect against investment losses.</t>
  </si>
  <si>
    <t xml:space="preserve">Customers' securities are returned after a brokerage fails.</t>
  </si>
  <si>
    <t xml:space="preserve">Non-profit created by the Securities Investor Protection Act of 1970.</t>
  </si>
  <si>
    <t xml:space="preserve">Social &amp; Government Programs &gt; Other Federal Insurance Programs &gt; SIPC Protection</t>
  </si>
  <si>
    <t xml:space="preserve">social.federal_programs.pbgc</t>
  </si>
  <si>
    <t xml:space="preserve">Pension Benefit Guaranty Corporation (PBGC)</t>
  </si>
  <si>
    <t xml:space="preserve">Federal agency that insures private defined-benefit pensions and pays benefits, up to legal limits, if a plan fails.</t>
  </si>
  <si>
    <t xml:space="preserve">Retirees of a bankrupt airline receive pensions from PBGC.</t>
  </si>
  <si>
    <t xml:space="preserve">Funded by premiums paid by pension plans.</t>
  </si>
  <si>
    <t xml:space="preserve">Social &amp; Government Programs &gt; Other Federal Insurance Programs &gt; Pension Benefit Guaranty Corporation (PBGC)</t>
  </si>
  <si>
    <t xml:space="preserve">social.federal_programs.nfip</t>
  </si>
  <si>
    <t xml:space="preserve">National Flood Insurance Program</t>
  </si>
  <si>
    <t xml:space="preserve">NFIP</t>
  </si>
  <si>
    <t xml:space="preserve">Federal flood insurance run by FEMA.</t>
  </si>
  <si>
    <t xml:space="preserve">A homeowner in a FEMA flood zone buys an NFIP policy through their agent.</t>
  </si>
  <si>
    <t xml:space="preserve">Social &amp; Government Programs &gt; Other Federal Insurance Programs &gt; National Flood Insurance Program</t>
  </si>
  <si>
    <t xml:space="preserve">social.federal_programs.fcic</t>
  </si>
  <si>
    <t xml:space="preserve">Federal Crop Insurance Corporation</t>
  </si>
  <si>
    <t xml:space="preserve">FCIC</t>
  </si>
  <si>
    <t xml:space="preserve">Federal corporation that subsidizes and reinsures crop insurance.</t>
  </si>
  <si>
    <t xml:space="preserve">A private crop insurer is reimbursed by FCIC for part of a drought year's losses.</t>
  </si>
  <si>
    <t xml:space="preserve">Social &amp; Government Programs &gt; Other Federal Insurance Programs &gt; Federal Crop Insurance Corporation</t>
  </si>
  <si>
    <t xml:space="preserve">social.federal_programs.sgli</t>
  </si>
  <si>
    <t xml:space="preserve">Servicemembers' Group Life Insurance (SGLI)</t>
  </si>
  <si>
    <t xml:space="preserve">Low-cost group term life insurance for active-duty military and reservists, up to $500,000.</t>
  </si>
  <si>
    <t xml:space="preserve">A soldier's family receives SGLI after a death in service.</t>
  </si>
  <si>
    <t xml:space="preserve">Run by the Department of Veterans Affairs, underwritten by Prudential. Can convert to VGLI after service.</t>
  </si>
  <si>
    <t xml:space="preserve">Social &amp; Government Programs &gt; Other Federal Insurance Programs &gt; Servicemembers' Group Life Insurance (SGLI)</t>
  </si>
  <si>
    <t xml:space="preserve">social.federal_programs.vgli</t>
  </si>
  <si>
    <t xml:space="preserve">Veterans' Group Life Insurance (VGLI)</t>
  </si>
  <si>
    <t xml:space="preserve">Renewable term life veterans can convert to from SGLI after leaving service.</t>
  </si>
  <si>
    <t xml:space="preserve">A veteran keeps $400,000 of cover after separation.</t>
  </si>
  <si>
    <t xml:space="preserve">Social &amp; Government Programs &gt; Other Federal Insurance Programs &gt; Veterans' Group Life Insurance (VGLI)</t>
  </si>
  <si>
    <t xml:space="preserve">social.federal_programs.fegli</t>
  </si>
  <si>
    <t xml:space="preserve">Federal Employees' Group Life Insurance (FEGLI)</t>
  </si>
  <si>
    <t xml:space="preserve">Group term life for federal civilian employees.</t>
  </si>
  <si>
    <t xml:space="preserve">A federal employee has basic life equal to salary plus $2,000.</t>
  </si>
  <si>
    <t xml:space="preserve">Administered by OPM, underwritten by MetLife.</t>
  </si>
  <si>
    <t xml:space="preserve">Social &amp; Government Programs &gt; Other Federal Insurance Programs &gt; Federal Employees' Group Life Insurance (FEGLI)</t>
  </si>
  <si>
    <t xml:space="preserve">social.federal_programs.fehb</t>
  </si>
  <si>
    <t xml:space="preserve">Federal Employees Health Benefits (FEHB)</t>
  </si>
  <si>
    <t xml:space="preserve">The health insurance program for federal employees and retirees, offering a choice of private plans.</t>
  </si>
  <si>
    <t xml:space="preserve">A federal worker picks a Blue Cross plan during open season.</t>
  </si>
  <si>
    <t xml:space="preserve">Run by OPM; the Postal Service Health Benefits program split off in 2025.</t>
  </si>
  <si>
    <t xml:space="preserve">Social &amp; Government Programs &gt; Other Federal Insurance Programs &gt; Federal Employees Health Benefits (FEHB)</t>
  </si>
  <si>
    <t xml:space="preserve">social.federal_programs.tricare</t>
  </si>
  <si>
    <t xml:space="preserve">TRICARE</t>
  </si>
  <si>
    <t xml:space="preserve">Health coverage for military service members, retirees and their families.</t>
  </si>
  <si>
    <t xml:space="preserve">A service member's spouse gets care through TRICARE Prime.</t>
  </si>
  <si>
    <t xml:space="preserve">Run by the Defense Health Agency.</t>
  </si>
  <si>
    <t xml:space="preserve">Social &amp; Government Programs &gt; Other Federal Insurance Programs &gt; TRICARE</t>
  </si>
  <si>
    <t xml:space="preserve">social.state_residual_markets</t>
  </si>
  <si>
    <t xml:space="preserve">State Residual Markets &amp; Guaranty Funds</t>
  </si>
  <si>
    <t xml:space="preserve">Insurers of last resort</t>
  </si>
  <si>
    <t xml:space="preserve">State-created mechanisms that provide cover when private markets won't, or protect policyholders when insurers fail.</t>
  </si>
  <si>
    <t xml:space="preserve">A homeowner who can't find cover gets a policy from the state FAIR Plan.</t>
  </si>
  <si>
    <t xml:space="preserve">Social &amp; Government Programs &gt; State Residual Markets &amp; Guaranty Funds</t>
  </si>
  <si>
    <t xml:space="preserve">social.state_residual_markets.guaranty_associations</t>
  </si>
  <si>
    <t xml:space="preserve">State Guaranty Associations</t>
  </si>
  <si>
    <t xml:space="preserve">Guaranty funds</t>
  </si>
  <si>
    <t xml:space="preserve">Pay claims of policyholders when an admitted insurer becomes insolvent, up to limits (e.g. often $300,000 for P&amp;C claims).</t>
  </si>
  <si>
    <t xml:space="preserve">Policyholders of a failed Florida home insurer have claims paid by FIGA.</t>
  </si>
  <si>
    <t xml:space="preserve">Every state has separate life/health and P&amp;C guaranty associations. Surplus lines policies are usually not covered.</t>
  </si>
  <si>
    <t xml:space="preserve">Social &amp; Government Programs &gt; State Residual Markets &amp; Guaranty Funds &gt; State Guaranty Associations</t>
  </si>
  <si>
    <t xml:space="preserve">social.state_residual_markets.auto_assigned_risk</t>
  </si>
  <si>
    <t xml:space="preserve">Automobile Insurance Plans</t>
  </si>
  <si>
    <t xml:space="preserve">Assigned risk</t>
  </si>
  <si>
    <t xml:space="preserve">Assign high-risk drivers who can't get auto cover to insurers in the state.</t>
  </si>
  <si>
    <t xml:space="preserve">A driver with multiple DUIs gets cover through the state plan.</t>
  </si>
  <si>
    <t xml:space="preserve">Administered by AIPSO in most states.</t>
  </si>
  <si>
    <t xml:space="preserve">Social &amp; Government Programs &gt; State Residual Markets &amp; Guaranty Funds &gt; Automobile Insurance Plans</t>
  </si>
  <si>
    <t xml:space="preserve">social.state_residual_markets.high_risk_pools</t>
  </si>
  <si>
    <t xml:space="preserve">High-Risk Health Pools (Historical)</t>
  </si>
  <si>
    <t xml:space="preserve">State pools that insured people denied health cover due to pre-existing conditions.</t>
  </si>
  <si>
    <t xml:space="preserve">Before 2014, a cancer survivor bought cover from a state pool.</t>
  </si>
  <si>
    <t xml:space="preserve">Mostly closed after the ACA banned pre-existing condition exclusions in 2014.</t>
  </si>
  <si>
    <t xml:space="preserve">Social &amp; Government Programs &gt; State Residual Markets &amp; Guaranty Funds &gt; High-Risk Health Pools (Historical)</t>
  </si>
  <si>
    <t xml:space="preserve">social.state_residual_markets.state_wind_pools</t>
  </si>
  <si>
    <t xml:space="preserve">State Wind &amp; Beach Pools</t>
  </si>
  <si>
    <t xml:space="preserve">Citizens; TWIA</t>
  </si>
  <si>
    <t xml:space="preserve">State insurers or pools covering coastal wind risk.</t>
  </si>
  <si>
    <t xml:space="preserve">A Florida homeowner is covered by Citizens Property Insurance.</t>
  </si>
  <si>
    <t xml:space="preserve">See Personal Property Insurance &gt; Windstorm and FAIR Plans.</t>
  </si>
  <si>
    <t xml:space="preserve">Social &amp; Government Programs &gt; State Residual Markets &amp; Guaranty Funds &gt; State Wind &amp; Beach Pools</t>
  </si>
  <si>
    <t xml:space="preserve">reinsurance</t>
  </si>
  <si>
    <t xml:space="preserve">Reinsurance</t>
  </si>
  <si>
    <t xml:space="preserve">Insurance for insurers</t>
  </si>
  <si>
    <t xml:space="preserve">Insurance that insurance companies buy to pass part of their risk to another company (the reinsurer), protecting them from very large or many losses.</t>
  </si>
  <si>
    <t xml:space="preserve">After a hurricane, a Florida home insurer recovers most of its claims from its reinsurers.</t>
  </si>
  <si>
    <t xml:space="preserve">US reinsurers are regulated by states; the NAIC Credit for Reinsurance Model Law governs when insurers can count reinsurance from non-US reinsurers on their balance sheets. June 1 is the key Florida renewal date.</t>
  </si>
  <si>
    <t xml:space="preserve">reinsurance.by_method</t>
  </si>
  <si>
    <t xml:space="preserve">By Contract Method</t>
  </si>
  <si>
    <t xml:space="preserve">Reinsurance is arranged either for a whole portfolio automatically (treaty) or one risk at a time (facultative).</t>
  </si>
  <si>
    <t xml:space="preserve">An insurer uses a treaty for all its homes and facultative cover for one skyscraper.</t>
  </si>
  <si>
    <t xml:space="preserve">Reinsurance &gt; By Contract Method</t>
  </si>
  <si>
    <t xml:space="preserve">reinsurance.by_method.treaty</t>
  </si>
  <si>
    <t xml:space="preserve">Treaty Reinsurance</t>
  </si>
  <si>
    <t xml:space="preserve">Obligatory reinsurance</t>
  </si>
  <si>
    <t xml:space="preserve">An agreement covering a whole class or portfolio of policies automatically, usually renewed yearly.</t>
  </si>
  <si>
    <t xml:space="preserve">All of an insurer's auto policies are ceded 30% under a treaty.</t>
  </si>
  <si>
    <t xml:space="preserve">Main renewal dates: January 1, April 1, June 1 and July 1.</t>
  </si>
  <si>
    <t xml:space="preserve">Reinsurance &gt; By Contract Method &gt; Treaty Reinsurance</t>
  </si>
  <si>
    <t xml:space="preserve">reinsurance.by_method.facultative</t>
  </si>
  <si>
    <t xml:space="preserve">Facultative Reinsurance</t>
  </si>
  <si>
    <t xml:space="preserve">Fac</t>
  </si>
  <si>
    <t xml:space="preserve">Reinsurance negotiated for a single policy or risk, which the reinsurer can accept or decline.</t>
  </si>
  <si>
    <t xml:space="preserve">An insurer reinsures most of a large chemical plant's property policy with a fac placement.</t>
  </si>
  <si>
    <t xml:space="preserve">Reinsurance &gt; By Contract Method &gt; Facultative Reinsurance</t>
  </si>
  <si>
    <t xml:space="preserve">reinsurance.by_method.facultative.fac_obligatory</t>
  </si>
  <si>
    <t xml:space="preserve">Facultative Obligatory</t>
  </si>
  <si>
    <t xml:space="preserve">Fac-oblig</t>
  </si>
  <si>
    <t xml:space="preserve">A hybrid where the insurer may choose which risks to cede, but the reinsurer must accept them.</t>
  </si>
  <si>
    <t xml:space="preserve">An insurer can cede any high-value homes it chooses.</t>
  </si>
  <si>
    <t xml:space="preserve">Reinsurance &gt; By Contract Method &gt; Facultative Reinsurance &gt; Facultative Obligatory</t>
  </si>
  <si>
    <t xml:space="preserve">reinsurance.proportional</t>
  </si>
  <si>
    <t xml:space="preserve">Proportional (Pro Rata) Reinsurance</t>
  </si>
  <si>
    <t xml:space="preserve">Quota share and surplus</t>
  </si>
  <si>
    <t xml:space="preserve">The reinsurer takes an agreed share of premiums and pays the same share of losses.</t>
  </si>
  <si>
    <t xml:space="preserve">A reinsurer takes 40% of the premium and pays 40% of every claim.</t>
  </si>
  <si>
    <t xml:space="preserve">Reinsurance &gt; Proportional (Pro Rata) Reinsurance</t>
  </si>
  <si>
    <t xml:space="preserve">reinsurance.proportional.quota_share</t>
  </si>
  <si>
    <t xml:space="preserve">Quota Share</t>
  </si>
  <si>
    <t xml:space="preserve">The reinsurer takes a fixed percentage of every policy in the portfolio.</t>
  </si>
  <si>
    <t xml:space="preserve">A new insurer cedes 50% of all policies to grow faster with less capital.</t>
  </si>
  <si>
    <t xml:space="preserve">Common for startups and insurtechs to support growth.</t>
  </si>
  <si>
    <t xml:space="preserve">Reinsurance &gt; Proportional (Pro Rata) Reinsurance &gt; Quota Share</t>
  </si>
  <si>
    <t xml:space="preserve">reinsurance.proportional.surplus_share</t>
  </si>
  <si>
    <t xml:space="preserve">Surplus Share</t>
  </si>
  <si>
    <t xml:space="preserve">Surplus treaty</t>
  </si>
  <si>
    <t xml:space="preserve">The insurer keeps a fixed amount (its "line") on each risk and cedes the amount above it, so larger risks are ceded more.</t>
  </si>
  <si>
    <t xml:space="preserve">An insurer keeps $1M of each risk and cedes the rest of a $5M building.</t>
  </si>
  <si>
    <t xml:space="preserve">Reinsurance &gt; Proportional (Pro Rata) Reinsurance &gt; Surplus Share</t>
  </si>
  <si>
    <t xml:space="preserve">reinsurance.non_proportional</t>
  </si>
  <si>
    <t xml:space="preserve">Non-Proportional (Excess of Loss) Reinsurance</t>
  </si>
  <si>
    <t xml:space="preserve">XoL</t>
  </si>
  <si>
    <t xml:space="preserve">The reinsurer pays losses above a set amount (the retention), up to a limit.</t>
  </si>
  <si>
    <t xml:space="preserve">A reinsurer pays losses between $10M and $50M from any one event.</t>
  </si>
  <si>
    <t xml:space="preserve">Reinsurance &gt; Non-Proportional (Excess of Loss) Reinsurance</t>
  </si>
  <si>
    <t xml:space="preserve">reinsurance.non_proportional.per_risk_xl</t>
  </si>
  <si>
    <t xml:space="preserve">Per Risk Excess of Loss</t>
  </si>
  <si>
    <t xml:space="preserve">Pays when a loss on a single risk exceeds the retention.</t>
  </si>
  <si>
    <t xml:space="preserve">A factory fire costs $8M; the reinsurer pays the amount above $2M.</t>
  </si>
  <si>
    <t xml:space="preserve">Reinsurance &gt; Non-Proportional (Excess of Loss) Reinsurance &gt; Per Risk Excess of Loss</t>
  </si>
  <si>
    <t xml:space="preserve">reinsurance.non_proportional.cat_xl</t>
  </si>
  <si>
    <t xml:space="preserve">Catastrophe Excess of Loss</t>
  </si>
  <si>
    <t xml:space="preserve">Cat XL; Property cat</t>
  </si>
  <si>
    <t xml:space="preserve">Pays when the total losses from one catastrophe exceed the retention.</t>
  </si>
  <si>
    <t xml:space="preserve">A hurricane causes $300M of claims and the reinsurer pays above $100M.</t>
  </si>
  <si>
    <t xml:space="preserve">Florida insurers also buy mandatory reinsurance from the Florida Hurricane Catastrophe Fund (FHCF).</t>
  </si>
  <si>
    <t xml:space="preserve">Reinsurance &gt; Non-Proportional (Excess of Loss) Reinsurance &gt; Catastrophe Excess of Loss</t>
  </si>
  <si>
    <t xml:space="preserve">reinsurance.non_proportional.per_occurrence_xl</t>
  </si>
  <si>
    <t xml:space="preserve">Casualty Clash / Per Occurrence XL</t>
  </si>
  <si>
    <t xml:space="preserve">Clash cover</t>
  </si>
  <si>
    <t xml:space="preserve">Pays when one event triggers claims under several casualty policies.</t>
  </si>
  <si>
    <t xml:space="preserve">A bus crash triggers auto, GL and workers' comp claims at once.</t>
  </si>
  <si>
    <t xml:space="preserve">Reinsurance &gt; Non-Proportional (Excess of Loss) Reinsurance &gt; Casualty Clash / Per Occurrence XL</t>
  </si>
  <si>
    <t xml:space="preserve">reinsurance.non_proportional.aggregate_stop_loss</t>
  </si>
  <si>
    <t xml:space="preserve">Aggregate Excess / Stop Loss</t>
  </si>
  <si>
    <t xml:space="preserve">Pays when total losses for a year exceed a set amount or loss ratio.</t>
  </si>
  <si>
    <t xml:space="preserve">A reinsurer pays once the insurer's loss ratio exceeds 80%.</t>
  </si>
  <si>
    <t xml:space="preserve">Reinsurance &gt; Non-Proportional (Excess of Loss) Reinsurance &gt; Aggregate Excess / Stop Loss</t>
  </si>
  <si>
    <t xml:space="preserve">reinsurance.life_reinsurance</t>
  </si>
  <si>
    <t xml:space="preserve">Life &amp; Health Reinsurance</t>
  </si>
  <si>
    <t xml:space="preserve">Reinsurance of life, annuity and health risks.</t>
  </si>
  <si>
    <t xml:space="preserve">A life insurer reinsures 90% of mortality risk on new term policies.</t>
  </si>
  <si>
    <t xml:space="preserve">Reinsurance &gt; Life &amp; Health Reinsurance</t>
  </si>
  <si>
    <t xml:space="preserve">reinsurance.life_reinsurance.yrt_reins</t>
  </si>
  <si>
    <t xml:space="preserve">YRT Reinsurance</t>
  </si>
  <si>
    <t xml:space="preserve">Yearly renewable term reinsurance</t>
  </si>
  <si>
    <t xml:space="preserve">The insurer buys one-year mortality cover on the amount at risk, renewing yearly.</t>
  </si>
  <si>
    <t xml:space="preserve">A life insurer pays YRT premiums on each policy's net amount at risk.</t>
  </si>
  <si>
    <t xml:space="preserve">The dominant US life reinsurance method.</t>
  </si>
  <si>
    <t xml:space="preserve">Reinsurance &gt; Life &amp; Health Reinsurance &gt; YRT Reinsurance</t>
  </si>
  <si>
    <t xml:space="preserve">reinsurance.life_reinsurance.coinsurance_life</t>
  </si>
  <si>
    <t xml:space="preserve">Coinsurance (Life)</t>
  </si>
  <si>
    <t xml:space="preserve">The reinsurer takes a proportional share of all policy risks, reserves and premiums, including investment risk.</t>
  </si>
  <si>
    <t xml:space="preserve">A block of term policies is 50% coinsured.</t>
  </si>
  <si>
    <t xml:space="preserve">Reinsurance &gt; Life &amp; Health Reinsurance &gt; Coinsurance (Life)</t>
  </si>
  <si>
    <t xml:space="preserve">reinsurance.life_reinsurance.modco</t>
  </si>
  <si>
    <t xml:space="preserve">Modified Coinsurance (Modco)</t>
  </si>
  <si>
    <t xml:space="preserve">Like coinsurance, but the ceding insurer keeps the assets and reserves.</t>
  </si>
  <si>
    <t xml:space="preserve">An annuity writer keeps assets on its books while ceding risk.</t>
  </si>
  <si>
    <t xml:space="preserve">Reinsurance &gt; Life &amp; Health Reinsurance &gt; Modified Coinsurance (Modco)</t>
  </si>
  <si>
    <t xml:space="preserve">reinsurance.life_reinsurance.block_reinsurance</t>
  </si>
  <si>
    <t xml:space="preserve">Block / Closed-Block Reinsurance</t>
  </si>
  <si>
    <t xml:space="preserve">Legacy transactions</t>
  </si>
  <si>
    <t xml:space="preserve">Reinsuring an existing, closed block of policies, often to exit a line of business.</t>
  </si>
  <si>
    <t xml:space="preserve">An insurer reinsures its old long-term care block to exit the business.</t>
  </si>
  <si>
    <t xml:space="preserve">Many deals use offshore (e.g. Bermuda) reinsurers owned by private equity-backed firms.</t>
  </si>
  <si>
    <t xml:space="preserve">Reinsurance &gt; Life &amp; Health Reinsurance &gt; Block / Closed-Block Reinsurance</t>
  </si>
  <si>
    <t xml:space="preserve">reinsurance.retrocession</t>
  </si>
  <si>
    <t xml:space="preserve">Retrocession</t>
  </si>
  <si>
    <t xml:space="preserve">Retro</t>
  </si>
  <si>
    <t xml:space="preserve">Reinsurance bought by reinsurers to protect themselves.</t>
  </si>
  <si>
    <t xml:space="preserve">A reinsurer buys retro cover for its Florida hurricane exposure.</t>
  </si>
  <si>
    <t xml:space="preserve">Reinsurance &gt; Retrocession</t>
  </si>
  <si>
    <t xml:space="preserve">reinsurance.legacy</t>
  </si>
  <si>
    <t xml:space="preserve">Loss Portfolio Transfer (LPT) &amp; Adverse Development Cover (ADC)</t>
  </si>
  <si>
    <t xml:space="preserve">Run-off reinsurance</t>
  </si>
  <si>
    <t xml:space="preserve">Transfers past liabilities (LPT) or protects against past claims costing more than expected (ADC).</t>
  </si>
  <si>
    <t xml:space="preserve">An insurer transfers old asbestos claims to a run-off specialist.</t>
  </si>
  <si>
    <t xml:space="preserve">Reinsurance &gt; Loss Portfolio Transfer (LPT) &amp; Adverse Development Cover (ADC)</t>
  </si>
  <si>
    <t xml:space="preserve">art</t>
  </si>
  <si>
    <t xml:space="preserve">Alternative Risk Transfer (ART)</t>
  </si>
  <si>
    <t xml:space="preserve">Alternative risk financing</t>
  </si>
  <si>
    <t xml:space="preserve">Ways to finance or transfer risk outside the traditional insurance market, often using capital markets or self-insurance structures.</t>
  </si>
  <si>
    <t xml:space="preserve">A large company creates its own insurer (a captive) to insure its risks.</t>
  </si>
  <si>
    <t xml:space="preserve">art.captives</t>
  </si>
  <si>
    <t xml:space="preserve">Captive Insurance</t>
  </si>
  <si>
    <t xml:space="preserve">Captives</t>
  </si>
  <si>
    <t xml:space="preserve">An insurance company owned by the business (or group of businesses) it insures, letting the owner control cover and costs.</t>
  </si>
  <si>
    <t xml:space="preserve">A hospital system forms a captive to insure its medical malpractice.</t>
  </si>
  <si>
    <t xml:space="preserve">Leading US domiciles include Vermont, Utah, Delaware, North Carolina and Tennessee; Bermuda and Cayman are major offshore domiciles.</t>
  </si>
  <si>
    <t xml:space="preserve">Alternative Risk Transfer (ART) &gt; Captive Insurance</t>
  </si>
  <si>
    <t xml:space="preserve">art.captives.single_parent</t>
  </si>
  <si>
    <t xml:space="preserve">Single-Parent (Pure) Captive</t>
  </si>
  <si>
    <t xml:space="preserve">Pure captive</t>
  </si>
  <si>
    <t xml:space="preserve">A captive owned by one company that insures only that company and its affiliates.</t>
  </si>
  <si>
    <t xml:space="preserve">A retailer's captive insures its general liability deductible.</t>
  </si>
  <si>
    <t xml:space="preserve">Alternative Risk Transfer (ART) &gt; Captive Insurance &gt; Single-Parent (Pure) Captive</t>
  </si>
  <si>
    <t xml:space="preserve">art.captives.group_captive</t>
  </si>
  <si>
    <t xml:space="preserve">Group Captive</t>
  </si>
  <si>
    <t xml:space="preserve">Association captive</t>
  </si>
  <si>
    <t xml:space="preserve">A captive owned by several companies (often in the same industry) that pool risk.</t>
  </si>
  <si>
    <t xml:space="preserve">Fifty trucking firms share a group captive for auto liability.</t>
  </si>
  <si>
    <t xml:space="preserve">Alternative Risk Transfer (ART) &gt; Captive Insurance &gt; Group Captive</t>
  </si>
  <si>
    <t xml:space="preserve">art.captives.cell_captive</t>
  </si>
  <si>
    <t xml:space="preserve">Protected Cell / Segregated Cell Captive</t>
  </si>
  <si>
    <t xml:space="preserve">Rent-a-captive; Series captive</t>
  </si>
  <si>
    <t xml:space="preserve">A captive split into separate cells, each rented by a different owner with its own assets and liabilities.</t>
  </si>
  <si>
    <t xml:space="preserve">A mid-size firm rents a cell rather than forming its own captive.</t>
  </si>
  <si>
    <t xml:space="preserve">Alternative Risk Transfer (ART) &gt; Captive Insurance &gt; Protected Cell / Segregated Cell Captive</t>
  </si>
  <si>
    <t xml:space="preserve">art.captives.micro_captive</t>
  </si>
  <si>
    <t xml:space="preserve">Micro-Captive (831(b))</t>
  </si>
  <si>
    <t xml:space="preserve">Small captive</t>
  </si>
  <si>
    <t xml:space="preserve">A small captive that elects to be taxed only on investment income under IRC Section 831(b).</t>
  </si>
  <si>
    <t xml:space="preserve">A family business forms an 831(b) captive for uninsured risks.</t>
  </si>
  <si>
    <t xml:space="preserve">The IRS has listed abusive micro-captive arrangements as reportable transactions (final regulations 2025).</t>
  </si>
  <si>
    <t xml:space="preserve">Alternative Risk Transfer (ART) &gt; Captive Insurance &gt; Micro-Captive (831(b))</t>
  </si>
  <si>
    <t xml:space="preserve">art.captives.rrg</t>
  </si>
  <si>
    <t xml:space="preserve">Risk Retention Group (RRG)</t>
  </si>
  <si>
    <t xml:space="preserve">A liability insurer owned by its members, who share a similar business; chartered in one state but can operate nationwide.</t>
  </si>
  <si>
    <t xml:space="preserve">Physicians form an RRG for malpractice cover.</t>
  </si>
  <si>
    <t xml:space="preserve">Created under the federal Liability Risk Retention Act of 1986; not covered by state guaranty funds.</t>
  </si>
  <si>
    <t xml:space="preserve">Alternative Risk Transfer (ART) &gt; Captive Insurance &gt; Risk Retention Group (RRG)</t>
  </si>
  <si>
    <t xml:space="preserve">art.self_insurance</t>
  </si>
  <si>
    <t xml:space="preserve">Self-Insurance &amp; Large Deductibles</t>
  </si>
  <si>
    <t xml:space="preserve">Self-funding</t>
  </si>
  <si>
    <t xml:space="preserve">The business pays its own losses up to a level rather than buying insurance, often with excess insurance above.</t>
  </si>
  <si>
    <t xml:space="preserve">A large employer self-insures workers' comp.</t>
  </si>
  <si>
    <t xml:space="preserve">Self-insuring workers' comp requires state approval; self-funded health plans fall under ERISA.</t>
  </si>
  <si>
    <t xml:space="preserve">Alternative Risk Transfer (ART) &gt; Self-Insurance &amp; Large Deductibles</t>
  </si>
  <si>
    <t xml:space="preserve">art.self_insurance.large_deductible</t>
  </si>
  <si>
    <t xml:space="preserve">Large Deductible Program</t>
  </si>
  <si>
    <t xml:space="preserve">A policy with a very high deductible (e.g. $250,000), where the insurer pays claims and bills the insured back.</t>
  </si>
  <si>
    <t xml:space="preserve">A trucking company takes a $500,000 deductible on auto liability.</t>
  </si>
  <si>
    <t xml:space="preserve">Alternative Risk Transfer (ART) &gt; Self-Insurance &amp; Large Deductibles &gt; Large Deductible Program</t>
  </si>
  <si>
    <t xml:space="preserve">art.self_insurance.sir</t>
  </si>
  <si>
    <t xml:space="preserve">Self-Insured Retention (SIR)</t>
  </si>
  <si>
    <t xml:space="preserve">The business pays losses up to the SIR itself before the policy responds.</t>
  </si>
  <si>
    <t xml:space="preserve">A manufacturer pays the first $1M of each GL claim.</t>
  </si>
  <si>
    <t xml:space="preserve">Alternative Risk Transfer (ART) &gt; Self-Insurance &amp; Large Deductibles &gt; Self-Insured Retention (SIR)</t>
  </si>
  <si>
    <t xml:space="preserve">art.self_insurance.risk_purchasing_group</t>
  </si>
  <si>
    <t xml:space="preserve">Risk Purchasing Group (RPG)</t>
  </si>
  <si>
    <t xml:space="preserve">A group of similar businesses that buy insurance together from an insurer, without owning it.</t>
  </si>
  <si>
    <t xml:space="preserve">Restaurants join an RPG to buy liability cover at group rates.</t>
  </si>
  <si>
    <t xml:space="preserve">Authorized by the Liability Risk Retention Act.</t>
  </si>
  <si>
    <t xml:space="preserve">Alternative Risk Transfer (ART) &gt; Self-Insurance &amp; Large Deductibles &gt; Risk Purchasing Group (RPG)</t>
  </si>
  <si>
    <t xml:space="preserve">art.ils</t>
  </si>
  <si>
    <t xml:space="preserve">Insurance-Linked Securities (ILS)</t>
  </si>
  <si>
    <t xml:space="preserve">Investments that transfer insurance risk to capital market investors.</t>
  </si>
  <si>
    <t xml:space="preserve">A pension fund invests in a catastrophe bond.</t>
  </si>
  <si>
    <t xml:space="preserve">Alternative Risk Transfer (ART) &gt; Insurance-Linked Securities (ILS)</t>
  </si>
  <si>
    <t xml:space="preserve">art.ils.cat_bonds</t>
  </si>
  <si>
    <t xml:space="preserve">Catastrophe Bonds</t>
  </si>
  <si>
    <t xml:space="preserve">Cat bonds</t>
  </si>
  <si>
    <t xml:space="preserve">Bonds where investors lose some or all of their principal if a defined catastrophe happens, with the money paying the insurer's claims.</t>
  </si>
  <si>
    <t xml:space="preserve">A state wind pool issues a cat bond covering Texas hurricanes.</t>
  </si>
  <si>
    <t xml:space="preserve">Issuers include Citizens (FL), CEA, TWIA and FEMA (for the NFIP).</t>
  </si>
  <si>
    <t xml:space="preserve">Alternative Risk Transfer (ART) &gt; Insurance-Linked Securities (ILS) &gt; Catastrophe Bonds</t>
  </si>
  <si>
    <t xml:space="preserve">art.ils.cat_bonds.indemnity_trigger</t>
  </si>
  <si>
    <t xml:space="preserve">Indemnity Trigger</t>
  </si>
  <si>
    <t xml:space="preserve">Pays based on the sponsor's actual losses.</t>
  </si>
  <si>
    <t xml:space="preserve">The bond pays when the insurer's hurricane losses exceed $1 billion.</t>
  </si>
  <si>
    <t xml:space="preserve">Alternative Risk Transfer (ART) &gt; Insurance-Linked Securities (ILS) &gt; Catastrophe Bonds &gt; Indemnity Trigger</t>
  </si>
  <si>
    <t xml:space="preserve">art.ils.cat_bonds.industry_index_trigger</t>
  </si>
  <si>
    <t xml:space="preserve">Industry Index Trigger</t>
  </si>
  <si>
    <t xml:space="preserve">Pays based on total industry losses as estimated by a reporting agency (e.g. PCS).</t>
  </si>
  <si>
    <t xml:space="preserve">The bond pays when US industry hurricane losses exceed $50 billion.</t>
  </si>
  <si>
    <t xml:space="preserve">Alternative Risk Transfer (ART) &gt; Insurance-Linked Securities (ILS) &gt; Catastrophe Bonds &gt; Industry Index Trigger</t>
  </si>
  <si>
    <t xml:space="preserve">art.ils.cat_bonds.parametric_trigger</t>
  </si>
  <si>
    <t xml:space="preserve">Parametric Trigger</t>
  </si>
  <si>
    <t xml:space="preserve">Pays based on measured event data such as wind speed or earthquake magnitude.</t>
  </si>
  <si>
    <t xml:space="preserve">The bond pays when a quake over magnitude 7.0 hits within 50 km of Los Angeles.</t>
  </si>
  <si>
    <t xml:space="preserve">Alternative Risk Transfer (ART) &gt; Insurance-Linked Securities (ILS) &gt; Catastrophe Bonds &gt; Parametric Trigger</t>
  </si>
  <si>
    <t xml:space="preserve">art.ils.sidecars</t>
  </si>
  <si>
    <t xml:space="preserve">Reinsurance Sidecars</t>
  </si>
  <si>
    <t xml:space="preserve">Special companies funded by investors that take a share of a reinsurer's business for a limited period.</t>
  </si>
  <si>
    <t xml:space="preserve">Investors fund a sidecar that takes 20% of a reinsurer's property cat book.</t>
  </si>
  <si>
    <t xml:space="preserve">Alternative Risk Transfer (ART) &gt; Insurance-Linked Securities (ILS) &gt; Reinsurance Sidecars</t>
  </si>
  <si>
    <t xml:space="preserve">art.ils.collateralized_re</t>
  </si>
  <si>
    <t xml:space="preserve">Collateralized Reinsurance</t>
  </si>
  <si>
    <t xml:space="preserve">Reinsurance fully backed by cash collateral from investors instead of a rated reinsurer's balance sheet.</t>
  </si>
  <si>
    <t xml:space="preserve">An ILS fund writes collateralized cat cover for a regional insurer.</t>
  </si>
  <si>
    <t xml:space="preserve">Alternative Risk Transfer (ART) &gt; Insurance-Linked Securities (ILS) &gt; Collateralized Reinsurance</t>
  </si>
  <si>
    <t xml:space="preserve">art.ils.ilw</t>
  </si>
  <si>
    <t xml:space="preserve">Industry Loss Warranties (ILW)</t>
  </si>
  <si>
    <t xml:space="preserve">Contracts that pay when total industry losses from an event exceed a set level.</t>
  </si>
  <si>
    <t xml:space="preserve">A reinsurer buys an ILW paying if a US hurricane costs the industry over $30B.</t>
  </si>
  <si>
    <t xml:space="preserve">Alternative Risk Transfer (ART) &gt; Insurance-Linked Securities (ILS) &gt; Industry Loss Warranties (ILW)</t>
  </si>
  <si>
    <t xml:space="preserve">art.parametric</t>
  </si>
  <si>
    <t xml:space="preserve">Parametric Insurance</t>
  </si>
  <si>
    <t xml:space="preserve">Index-based insurance</t>
  </si>
  <si>
    <t xml:space="preserve">Pays a set amount automatically when a measurable event happens (like wind speed or rainfall) rather than after assessing actual losses.</t>
  </si>
  <si>
    <t xml:space="preserve">A hotel is paid $1 million automatically when a Category 4 hurricane passes within 30 miles.</t>
  </si>
  <si>
    <t xml:space="preserve">Must be structured with an insurable interest to be treated as insurance rather than a derivative.</t>
  </si>
  <si>
    <t xml:space="preserve">Alternative Risk Transfer (ART) &gt; Parametric Insurance</t>
  </si>
  <si>
    <t xml:space="preserve">art.parametric.parametric_weather</t>
  </si>
  <si>
    <t xml:space="preserve">Weather &amp; Rainfall Parametric</t>
  </si>
  <si>
    <t xml:space="preserve">Pays based on rainfall, temperature or snowfall indices.</t>
  </si>
  <si>
    <t xml:space="preserve">A ski resort is paid when snowfall is below 60% of average.</t>
  </si>
  <si>
    <t xml:space="preserve">Alternative Risk Transfer (ART) &gt; Parametric Insurance &gt; Weather &amp; Rainfall Parametric</t>
  </si>
  <si>
    <t xml:space="preserve">art.parametric.parametric_earthquake</t>
  </si>
  <si>
    <t xml:space="preserve">Earthquake Parametric</t>
  </si>
  <si>
    <t xml:space="preserve">Pays based on earthquake magnitude and distance.</t>
  </si>
  <si>
    <t xml:space="preserve">A homeowner receives $20,000 automatically after a nearby magnitude 6.5 quake.</t>
  </si>
  <si>
    <t xml:space="preserve">Personal parametric quake products are sold in California.</t>
  </si>
  <si>
    <t xml:space="preserve">Alternative Risk Transfer (ART) &gt; Parametric Insurance &gt; Earthquake Parametric</t>
  </si>
  <si>
    <t xml:space="preserve">art.parametric.parametric_flight_delay</t>
  </si>
  <si>
    <t xml:space="preserve">Flight Delay Parametric</t>
  </si>
  <si>
    <t xml:space="preserve">Pays automatically when a flight is delayed beyond a set time.</t>
  </si>
  <si>
    <t xml:space="preserve">A traveler is paid $100 when their flight is 3 hours late.</t>
  </si>
  <si>
    <t xml:space="preserve">Alternative Risk Transfer (ART) &gt; Parametric Insurance &gt; Flight Delay Parametric</t>
  </si>
  <si>
    <t xml:space="preserve">art.microinsurance</t>
  </si>
  <si>
    <t xml:space="preserve">Microinsurance &amp; Embedded Insurance</t>
  </si>
  <si>
    <t xml:space="preserve">Inclusive insurance</t>
  </si>
  <si>
    <t xml:space="preserve">Low-cost, simple insurance for people and small businesses with limited income, often sold digitally or bundled into other purchases.</t>
  </si>
  <si>
    <t xml:space="preserve">A gig worker buys per-shift accident cover through an app.</t>
  </si>
  <si>
    <t xml:space="preserve">True microinsurance is mainly a developing-market concept; in the US the closest forms are embedded, on-demand and gig-worker covers.</t>
  </si>
  <si>
    <t xml:space="preserve">Alternative Risk Transfer (ART) &gt; Microinsurance &amp; Embedded Insurance</t>
  </si>
  <si>
    <t xml:space="preserve">art.microinsurance.embedded</t>
  </si>
  <si>
    <t xml:space="preserve">Embedded Insurance</t>
  </si>
  <si>
    <t xml:space="preserve">Insurance built into the purchase of another product, such as ticket or rental protection offered at checkout.</t>
  </si>
  <si>
    <t xml:space="preserve">A concert-goer adds ticket protection when buying online.</t>
  </si>
  <si>
    <t xml:space="preserve">Sellers usually need a limited lines license in many states.</t>
  </si>
  <si>
    <t xml:space="preserve">Alternative Risk Transfer (ART) &gt; Microinsurance &amp; Embedded Insurance &gt; Embedded Insurance</t>
  </si>
  <si>
    <t xml:space="preserve">art.microinsurance.on_demand</t>
  </si>
  <si>
    <t xml:space="preserve">On-Demand / Usage-Based Cover</t>
  </si>
  <si>
    <t xml:space="preserve">Cover you switch on only when needed, such as per trip, per shift or per item.</t>
  </si>
  <si>
    <t xml:space="preserve">A photographer turns on equipment cover for one weekend shoot.</t>
  </si>
  <si>
    <t xml:space="preserve">Alternative Risk Transfer (ART) &gt; Microinsurance &amp; Embedded Insurance &gt; On-Demand / Usage-Based Cover</t>
  </si>
  <si>
    <t xml:space="preserve">art.finite</t>
  </si>
  <si>
    <t xml:space="preserve">Finite Risk Reinsurance</t>
  </si>
  <si>
    <t xml:space="preserve">Financial reinsurance</t>
  </si>
  <si>
    <t xml:space="preserve">Multi-year contracts that transfer limited risk and smooth results over time.</t>
  </si>
  <si>
    <t xml:space="preserve">An insurer spreads a large loss over several years.</t>
  </si>
  <si>
    <t xml:space="preserve">Must transfer significant insurance risk to qualify for reinsurance accounting (SSAP 62R / ASC 944).</t>
  </si>
  <si>
    <t xml:space="preserve">Alternative Risk Transfer (ART) &gt; Finite Risk Reinsurance</t>
  </si>
  <si>
    <t xml:space="preserve">Level 1</t>
  </si>
  <si>
    <t xml:space="preserve">Level 2</t>
  </si>
  <si>
    <t xml:space="preserve">Level 3</t>
  </si>
  <si>
    <t xml:space="preserve">Level 4</t>
  </si>
  <si>
    <t xml:space="preserve">Level 5</t>
  </si>
  <si>
    <t xml:space="preserve">Insurance Taxonomy (US) - Summary</t>
  </si>
  <si>
    <t xml:space="preserve">Root category</t>
  </si>
  <si>
    <t xml:space="preserve">Root ID</t>
  </si>
  <si>
    <t xml:space="preserve">Nodes (incl. root)</t>
  </si>
  <si>
    <t xml:space="preserve">Max depth</t>
  </si>
  <si>
    <t xml:space="preserve">Total</t>
  </si>
  <si>
    <t xml:space="preserve">Check: rows in Tree sheet</t>
  </si>
  <si>
    <t xml:space="preserve">Nodes at level</t>
  </si>
  <si>
    <t xml:space="preserve">By market</t>
  </si>
  <si>
    <t xml:space="preserve">Approach and sources</t>
  </si>
  <si>
    <t xml:space="preserve">Scope: US market only. Product names, forms and notes follow US usage (e.g. ISO homeowners HO-1 to HO-8 forms, ISO commercial forms, NCCI workers' comp, ACA/Medicare/Medicaid programs, USDA Risk Management Agency crop programs).</t>
  </si>
  <si>
    <t xml:space="preserve">Compiled from general industry knowledge of publicly documented US sources: ISO/Verisk standard policy forms, NAIC model laws and consumer guides, Insurance Information Institute (III) explainers, CMS/Medicare.gov, HealthCare.gov, FEMA/NFIP, USDA RMA, SSA, NCCI and IRS publications. Figures (limits, thresholds, dates) are as generally published at the time of writing and change over time; verify current values before relying on them.</t>
  </si>
  <si>
    <t xml:space="preserve">Terminology varies: insurers, states and agents often use different names for the same product (see the Also Known As column). Many products differ by state, because insurance is regulated mainly at the state level.</t>
  </si>
  <si>
    <t xml:space="preserve">The tree is a learning aid, not legal or buying advice. Some products fit more than one branch; each appears once in its most common home, and a few government programs are also listed under Social &amp; Government Programs with a cross-reference.</t>
  </si>
  <si>
    <t xml:space="preserve">Counts in this sheet are live formulas over the Tree sheet, so they update if rows are added or removed.</t>
  </si>
  <si>
    <t xml:space="preserve">Insurance Taxonomy (US market)</t>
  </si>
  <si>
    <t xml:space="preserve">A tree of US insurance product types for people new to insurance: individuals, developers joining insurance projects, new underwriters and product owners. The same data is exported to data/insurance-taxonomy.csv for the app.</t>
  </si>
  <si>
    <t xml:space="preserve">Sheets</t>
  </si>
  <si>
    <t xml:space="preserve">Tree</t>
  </si>
  <si>
    <t xml:space="preserve">One row per node (product type or grouping), ordered depth-first so the tree reads top to bottom. This is the machine-readable source.</t>
  </si>
  <si>
    <t xml:space="preserve">Outline</t>
  </si>
  <si>
    <t xml:space="preserve">The same tree as an indented outline, one column per level. Use the +/- buttons or the 1-6 outline level buttons at the top left to collapse and expand branches.</t>
  </si>
  <si>
    <t xml:space="preserve">Summary</t>
  </si>
  <si>
    <t xml:space="preserve">Node counts per root category and per level (live formulas), plus notes on sources and approach.</t>
  </si>
  <si>
    <t xml:space="preserve">README</t>
  </si>
  <si>
    <t xml:space="preserve">This sheet.</t>
  </si>
  <si>
    <t xml:space="preserve">Columns in the Tree sheet</t>
  </si>
  <si>
    <t xml:space="preserve">Stable, unique, dot-separated identifier built from the parent's ID plus a short slug, e.g. life.permanent.universal.iul. Lowercase letters, digits and underscores only. Use it as the key in the app; do not rely on row numbers.</t>
  </si>
  <si>
    <t xml:space="preserve">ID of the parent node. Blank for the 13 root categories. Every non-blank Parent ID exists as an ID in the sheet.</t>
  </si>
  <si>
    <t xml:space="preserve">Depth in the tree: 1 = root category, 2 = its children, and so on. Always equals the parent's level + 1.</t>
  </si>
  <si>
    <t xml:space="preserve">Display name. Indented visually by level in Excel (cell indent only; the value has no leading spaces).</t>
  </si>
  <si>
    <t xml:space="preserve">Other names, abbreviations or brand/state names for the same thing, separated by semicolons. Blank if none.</t>
  </si>
  <si>
    <t xml:space="preserve">One or two sentences in simple language.</t>
  </si>
  <si>
    <t xml:space="preserve">A concrete, real-life example of who buys it or what it pays for.</t>
  </si>
  <si>
    <t xml:space="preserve">Whether it is bought mainly by individuals/families (Personal), businesses/organizations (Commercial) or both.</t>
  </si>
  <si>
    <t xml:space="preserve">US-specific details: state vs federal regulation, state variations, key laws, program names. Blank where not applicable.</t>
  </si>
  <si>
    <t xml:space="preserve">Names from the root down to this node, separated by ' &gt; '. Always equals the parent's Full Path + ' &gt; ' + Name.</t>
  </si>
  <si>
    <t xml:space="preserve">How the tree is linked</t>
  </si>
  <si>
    <t xml:space="preserve">Parent/child</t>
  </si>
  <si>
    <t xml:space="preserve">Each row points to its parent through Parent ID. To build the tree: create a node for each row keyed by ID, then attach each node to the node whose ID equals its Parent ID. Rows with a blank Parent ID are roots.</t>
  </si>
  <si>
    <t xml:space="preserve">ID prefixes</t>
  </si>
  <si>
    <t xml:space="preserve">Because IDs are built from the parent's ID, every descendant's ID starts with its ancestor's ID followed by a dot. For example, all Life nodes start with 'life.'; all universal life types start with 'life.permanent.universal.'.</t>
  </si>
  <si>
    <t xml:space="preserve">Ordering</t>
  </si>
  <si>
    <t xml:space="preserve">Rows are in depth-first (pre-order) order: a parent always appears before its children, and siblings appear in a teaching-friendly order.</t>
  </si>
  <si>
    <t xml:space="preserve">Validation</t>
  </si>
  <si>
    <t xml:space="preserve">The file was checked by script: IDs are unique, every Parent ID exists, Level = parent Level + 1, and Full Path = parent Full Path + ' &gt; ' + Name.</t>
  </si>
  <si>
    <t xml:space="preserve">Caveat</t>
  </si>
  <si>
    <t xml:space="preserve">Educational reference only; not legal, tax or buying advice. Details vary by state and change over time.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</si>
</sst>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sz val="9"/>
      <color rgb="FF808080"/>
      <name val="Arial"/>
      <family val="0"/>
      <charset val="1"/>
    </font>
    <font>
      <b val="true"/>
      <sz val="14"/>
      <name val="Arial"/>
      <family val="0"/>
      <charset val="1"/>
    </font>
    <font>
      <b val="true"/>
      <sz val="12"/>
      <name val="Arial"/>
      <family val="0"/>
      <charset val="1"/>
    </font>
    <font>
      <b val="true"/>
      <sz val="12"/>
      <color rgb="FF1F4E78"/>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DEBF7"/>
        <bgColor rgb="FFF2F7FC"/>
      </patternFill>
    </fill>
    <fill>
      <patternFill patternType="solid">
        <fgColor rgb="FFF2F7FC"/>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2"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4" shrinkToFit="false"/>
      <protection locked="true" hidden="false"/>
    </xf>
    <xf numFmtId="164" fontId="5" fillId="0" borderId="1" xfId="0" applyFont="true" applyBorder="true" applyAlignment="true" applyProtection="false">
      <alignment horizontal="general" vertical="top" textRotation="0" wrapText="true" indent="6" shrinkToFit="false"/>
      <protection locked="true" hidden="false"/>
    </xf>
    <xf numFmtId="164" fontId="5" fillId="0" borderId="1" xfId="0" applyFont="true" applyBorder="true" applyAlignment="true" applyProtection="false">
      <alignment horizontal="general" vertical="top" textRotation="0" wrapText="true" indent="8"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DDEBF7"/>
          <bgColor rgb="FF000000"/>
        </patternFill>
      </fill>
    </dxf>
    <dxf>
      <fill>
        <patternFill patternType="solid">
          <fgColor rgb="FFF2F7F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34"/>
    <col collapsed="false" customWidth="true" hidden="false" outlineLevel="0" max="3" min="3" style="0" width="7"/>
    <col collapsed="false" customWidth="true" hidden="false" outlineLevel="0" max="4" min="4" style="0" width="44"/>
    <col collapsed="false" customWidth="true" hidden="false" outlineLevel="0" max="5" min="5" style="0" width="30"/>
    <col collapsed="false" customWidth="true" hidden="false" outlineLevel="0" max="6" min="6" style="0" width="60"/>
    <col collapsed="false" customWidth="true" hidden="false" outlineLevel="0" max="7" min="7" style="0" width="50"/>
    <col collapsed="false" customWidth="true" hidden="false" outlineLevel="0" max="8" min="8" style="0" width="14"/>
    <col collapsed="false" customWidth="true" hidden="false" outlineLevel="0" max="9" min="9" style="0" width="50"/>
    <col collapsed="false" customWidth="true" hidden="false" outlineLevel="0" max="10" min="10" style="0" width="7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row>
    <row r="2" customFormat="false" ht="35.05" hidden="false" customHeight="false" outlineLevel="0" collapsed="false">
      <c r="A2" s="2" t="s">
        <v>10</v>
      </c>
      <c r="B2" s="2"/>
      <c r="C2" s="3" t="n">
        <v>1</v>
      </c>
      <c r="D2" s="4" t="s">
        <v>11</v>
      </c>
      <c r="E2" s="2" t="s">
        <v>12</v>
      </c>
      <c r="F2" s="2" t="s">
        <v>13</v>
      </c>
      <c r="G2" s="2" t="s">
        <v>14</v>
      </c>
      <c r="H2" s="2" t="s">
        <v>15</v>
      </c>
      <c r="I2" s="2" t="s">
        <v>16</v>
      </c>
      <c r="J2" s="2" t="s">
        <v>11</v>
      </c>
    </row>
    <row r="3" customFormat="false" ht="23.85" hidden="false" customHeight="false" outlineLevel="0" collapsed="false">
      <c r="A3" s="5" t="s">
        <v>17</v>
      </c>
      <c r="B3" s="5" t="s">
        <v>10</v>
      </c>
      <c r="C3" s="6" t="n">
        <v>2</v>
      </c>
      <c r="D3" s="7" t="s">
        <v>18</v>
      </c>
      <c r="E3" s="5" t="s">
        <v>19</v>
      </c>
      <c r="F3" s="5" t="s">
        <v>20</v>
      </c>
      <c r="G3" s="5" t="s">
        <v>21</v>
      </c>
      <c r="H3" s="5" t="s">
        <v>15</v>
      </c>
      <c r="I3" s="5" t="s">
        <v>22</v>
      </c>
      <c r="J3" s="5" t="s">
        <v>23</v>
      </c>
    </row>
    <row r="4" customFormat="false" ht="23.85" hidden="false" customHeight="false" outlineLevel="0" collapsed="false">
      <c r="A4" s="8" t="s">
        <v>24</v>
      </c>
      <c r="B4" s="8" t="s">
        <v>17</v>
      </c>
      <c r="C4" s="9" t="n">
        <v>3</v>
      </c>
      <c r="D4" s="10" t="s">
        <v>25</v>
      </c>
      <c r="E4" s="8" t="s">
        <v>26</v>
      </c>
      <c r="F4" s="8" t="s">
        <v>27</v>
      </c>
      <c r="G4" s="8" t="s">
        <v>28</v>
      </c>
      <c r="H4" s="8" t="s">
        <v>15</v>
      </c>
      <c r="I4" s="8"/>
      <c r="J4" s="8" t="s">
        <v>29</v>
      </c>
    </row>
    <row r="5" customFormat="false" ht="15" hidden="false" customHeight="false" outlineLevel="0" collapsed="false">
      <c r="A5" s="8" t="s">
        <v>30</v>
      </c>
      <c r="B5" s="8" t="s">
        <v>17</v>
      </c>
      <c r="C5" s="9" t="n">
        <v>3</v>
      </c>
      <c r="D5" s="10" t="s">
        <v>31</v>
      </c>
      <c r="E5" s="8" t="s">
        <v>32</v>
      </c>
      <c r="F5" s="8" t="s">
        <v>33</v>
      </c>
      <c r="G5" s="8" t="s">
        <v>34</v>
      </c>
      <c r="H5" s="8" t="s">
        <v>15</v>
      </c>
      <c r="I5" s="8" t="s">
        <v>35</v>
      </c>
      <c r="J5" s="8" t="s">
        <v>36</v>
      </c>
    </row>
    <row r="6" customFormat="false" ht="23.85" hidden="false" customHeight="false" outlineLevel="0" collapsed="false">
      <c r="A6" s="8" t="s">
        <v>37</v>
      </c>
      <c r="B6" s="8" t="s">
        <v>17</v>
      </c>
      <c r="C6" s="9" t="n">
        <v>3</v>
      </c>
      <c r="D6" s="10" t="s">
        <v>38</v>
      </c>
      <c r="E6" s="8" t="s">
        <v>39</v>
      </c>
      <c r="F6" s="8" t="s">
        <v>40</v>
      </c>
      <c r="G6" s="8" t="s">
        <v>41</v>
      </c>
      <c r="H6" s="8" t="s">
        <v>15</v>
      </c>
      <c r="I6" s="8" t="s">
        <v>42</v>
      </c>
      <c r="J6" s="8" t="s">
        <v>43</v>
      </c>
    </row>
    <row r="7" customFormat="false" ht="23.85" hidden="false" customHeight="false" outlineLevel="0" collapsed="false">
      <c r="A7" s="8" t="s">
        <v>44</v>
      </c>
      <c r="B7" s="8" t="s">
        <v>17</v>
      </c>
      <c r="C7" s="9" t="n">
        <v>3</v>
      </c>
      <c r="D7" s="10" t="s">
        <v>45</v>
      </c>
      <c r="E7" s="8"/>
      <c r="F7" s="8" t="s">
        <v>46</v>
      </c>
      <c r="G7" s="8" t="s">
        <v>47</v>
      </c>
      <c r="H7" s="8" t="s">
        <v>15</v>
      </c>
      <c r="I7" s="8" t="s">
        <v>48</v>
      </c>
      <c r="J7" s="8" t="s">
        <v>49</v>
      </c>
    </row>
    <row r="8" customFormat="false" ht="23.85" hidden="false" customHeight="false" outlineLevel="0" collapsed="false">
      <c r="A8" s="8" t="s">
        <v>50</v>
      </c>
      <c r="B8" s="8" t="s">
        <v>17</v>
      </c>
      <c r="C8" s="9" t="n">
        <v>3</v>
      </c>
      <c r="D8" s="10" t="s">
        <v>51</v>
      </c>
      <c r="E8" s="8"/>
      <c r="F8" s="8" t="s">
        <v>52</v>
      </c>
      <c r="G8" s="8" t="s">
        <v>53</v>
      </c>
      <c r="H8" s="8" t="s">
        <v>15</v>
      </c>
      <c r="I8" s="8"/>
      <c r="J8" s="8" t="s">
        <v>54</v>
      </c>
    </row>
    <row r="9" customFormat="false" ht="23.85" hidden="false" customHeight="false" outlineLevel="0" collapsed="false">
      <c r="A9" s="8" t="s">
        <v>55</v>
      </c>
      <c r="B9" s="8" t="s">
        <v>17</v>
      </c>
      <c r="C9" s="9" t="n">
        <v>3</v>
      </c>
      <c r="D9" s="10" t="s">
        <v>56</v>
      </c>
      <c r="E9" s="8" t="s">
        <v>57</v>
      </c>
      <c r="F9" s="8" t="s">
        <v>58</v>
      </c>
      <c r="G9" s="8" t="s">
        <v>59</v>
      </c>
      <c r="H9" s="8" t="s">
        <v>15</v>
      </c>
      <c r="I9" s="8" t="s">
        <v>60</v>
      </c>
      <c r="J9" s="8" t="s">
        <v>61</v>
      </c>
    </row>
    <row r="10" customFormat="false" ht="35.05" hidden="false" customHeight="false" outlineLevel="0" collapsed="false">
      <c r="A10" s="5" t="s">
        <v>62</v>
      </c>
      <c r="B10" s="5" t="s">
        <v>10</v>
      </c>
      <c r="C10" s="6" t="n">
        <v>2</v>
      </c>
      <c r="D10" s="7" t="s">
        <v>63</v>
      </c>
      <c r="E10" s="5" t="s">
        <v>64</v>
      </c>
      <c r="F10" s="5" t="s">
        <v>65</v>
      </c>
      <c r="G10" s="5" t="s">
        <v>66</v>
      </c>
      <c r="H10" s="5" t="s">
        <v>15</v>
      </c>
      <c r="I10" s="5" t="s">
        <v>67</v>
      </c>
      <c r="J10" s="5" t="s">
        <v>68</v>
      </c>
    </row>
    <row r="11" customFormat="false" ht="23.85" hidden="false" customHeight="false" outlineLevel="0" collapsed="false">
      <c r="A11" s="8" t="s">
        <v>69</v>
      </c>
      <c r="B11" s="8" t="s">
        <v>62</v>
      </c>
      <c r="C11" s="9" t="n">
        <v>3</v>
      </c>
      <c r="D11" s="10" t="s">
        <v>70</v>
      </c>
      <c r="E11" s="8" t="s">
        <v>71</v>
      </c>
      <c r="F11" s="8" t="s">
        <v>72</v>
      </c>
      <c r="G11" s="8" t="s">
        <v>73</v>
      </c>
      <c r="H11" s="8" t="s">
        <v>15</v>
      </c>
      <c r="I11" s="8"/>
      <c r="J11" s="8" t="s">
        <v>74</v>
      </c>
    </row>
    <row r="12" customFormat="false" ht="23.85" hidden="false" customHeight="false" outlineLevel="0" collapsed="false">
      <c r="A12" s="8" t="s">
        <v>75</v>
      </c>
      <c r="B12" s="8" t="s">
        <v>69</v>
      </c>
      <c r="C12" s="9" t="n">
        <v>4</v>
      </c>
      <c r="D12" s="11" t="s">
        <v>76</v>
      </c>
      <c r="E12" s="8" t="s">
        <v>77</v>
      </c>
      <c r="F12" s="8" t="s">
        <v>78</v>
      </c>
      <c r="G12" s="8" t="s">
        <v>79</v>
      </c>
      <c r="H12" s="8" t="s">
        <v>15</v>
      </c>
      <c r="I12" s="8" t="s">
        <v>80</v>
      </c>
      <c r="J12" s="8" t="s">
        <v>81</v>
      </c>
    </row>
    <row r="13" customFormat="false" ht="15" hidden="false" customHeight="false" outlineLevel="0" collapsed="false">
      <c r="A13" s="8" t="s">
        <v>82</v>
      </c>
      <c r="B13" s="8" t="s">
        <v>69</v>
      </c>
      <c r="C13" s="9" t="n">
        <v>4</v>
      </c>
      <c r="D13" s="11" t="s">
        <v>83</v>
      </c>
      <c r="E13" s="8" t="s">
        <v>84</v>
      </c>
      <c r="F13" s="8" t="s">
        <v>85</v>
      </c>
      <c r="G13" s="8" t="s">
        <v>86</v>
      </c>
      <c r="H13" s="8" t="s">
        <v>15</v>
      </c>
      <c r="I13" s="8"/>
      <c r="J13" s="8" t="s">
        <v>87</v>
      </c>
    </row>
    <row r="14" customFormat="false" ht="23.85" hidden="false" customHeight="false" outlineLevel="0" collapsed="false">
      <c r="A14" s="8" t="s">
        <v>88</v>
      </c>
      <c r="B14" s="8" t="s">
        <v>69</v>
      </c>
      <c r="C14" s="9" t="n">
        <v>4</v>
      </c>
      <c r="D14" s="11" t="s">
        <v>89</v>
      </c>
      <c r="E14" s="8" t="s">
        <v>90</v>
      </c>
      <c r="F14" s="8" t="s">
        <v>91</v>
      </c>
      <c r="G14" s="8" t="s">
        <v>92</v>
      </c>
      <c r="H14" s="8" t="s">
        <v>15</v>
      </c>
      <c r="I14" s="8"/>
      <c r="J14" s="8" t="s">
        <v>93</v>
      </c>
    </row>
    <row r="15" customFormat="false" ht="23.85" hidden="false" customHeight="false" outlineLevel="0" collapsed="false">
      <c r="A15" s="8" t="s">
        <v>94</v>
      </c>
      <c r="B15" s="8" t="s">
        <v>69</v>
      </c>
      <c r="C15" s="9" t="n">
        <v>4</v>
      </c>
      <c r="D15" s="11" t="s">
        <v>95</v>
      </c>
      <c r="E15" s="8"/>
      <c r="F15" s="8" t="s">
        <v>96</v>
      </c>
      <c r="G15" s="8" t="s">
        <v>97</v>
      </c>
      <c r="H15" s="8" t="s">
        <v>15</v>
      </c>
      <c r="I15" s="8" t="s">
        <v>98</v>
      </c>
      <c r="J15" s="8" t="s">
        <v>99</v>
      </c>
    </row>
    <row r="16" customFormat="false" ht="23.85" hidden="false" customHeight="false" outlineLevel="0" collapsed="false">
      <c r="A16" s="8" t="s">
        <v>100</v>
      </c>
      <c r="B16" s="8" t="s">
        <v>69</v>
      </c>
      <c r="C16" s="9" t="n">
        <v>4</v>
      </c>
      <c r="D16" s="11" t="s">
        <v>101</v>
      </c>
      <c r="E16" s="8" t="s">
        <v>102</v>
      </c>
      <c r="F16" s="8" t="s">
        <v>103</v>
      </c>
      <c r="G16" s="8" t="s">
        <v>104</v>
      </c>
      <c r="H16" s="8" t="s">
        <v>15</v>
      </c>
      <c r="I16" s="8" t="s">
        <v>105</v>
      </c>
      <c r="J16" s="8" t="s">
        <v>106</v>
      </c>
    </row>
    <row r="17" customFormat="false" ht="23.85" hidden="false" customHeight="false" outlineLevel="0" collapsed="false">
      <c r="A17" s="8" t="s">
        <v>107</v>
      </c>
      <c r="B17" s="8" t="s">
        <v>69</v>
      </c>
      <c r="C17" s="9" t="n">
        <v>4</v>
      </c>
      <c r="D17" s="11" t="s">
        <v>108</v>
      </c>
      <c r="E17" s="8" t="s">
        <v>109</v>
      </c>
      <c r="F17" s="8" t="s">
        <v>110</v>
      </c>
      <c r="G17" s="8" t="s">
        <v>111</v>
      </c>
      <c r="H17" s="8" t="s">
        <v>15</v>
      </c>
      <c r="I17" s="8"/>
      <c r="J17" s="8" t="s">
        <v>112</v>
      </c>
    </row>
    <row r="18" customFormat="false" ht="23.85" hidden="false" customHeight="false" outlineLevel="0" collapsed="false">
      <c r="A18" s="8" t="s">
        <v>113</v>
      </c>
      <c r="B18" s="8" t="s">
        <v>69</v>
      </c>
      <c r="C18" s="9" t="n">
        <v>4</v>
      </c>
      <c r="D18" s="11" t="s">
        <v>114</v>
      </c>
      <c r="E18" s="8" t="s">
        <v>115</v>
      </c>
      <c r="F18" s="8" t="s">
        <v>116</v>
      </c>
      <c r="G18" s="8" t="s">
        <v>117</v>
      </c>
      <c r="H18" s="8" t="s">
        <v>15</v>
      </c>
      <c r="I18" s="8" t="s">
        <v>118</v>
      </c>
      <c r="J18" s="8" t="s">
        <v>119</v>
      </c>
    </row>
    <row r="19" customFormat="false" ht="23.85" hidden="false" customHeight="false" outlineLevel="0" collapsed="false">
      <c r="A19" s="8" t="s">
        <v>120</v>
      </c>
      <c r="B19" s="8" t="s">
        <v>62</v>
      </c>
      <c r="C19" s="9" t="n">
        <v>3</v>
      </c>
      <c r="D19" s="10" t="s">
        <v>121</v>
      </c>
      <c r="E19" s="8" t="s">
        <v>122</v>
      </c>
      <c r="F19" s="8" t="s">
        <v>123</v>
      </c>
      <c r="G19" s="8" t="s">
        <v>124</v>
      </c>
      <c r="H19" s="8" t="s">
        <v>15</v>
      </c>
      <c r="I19" s="8"/>
      <c r="J19" s="8" t="s">
        <v>125</v>
      </c>
    </row>
    <row r="20" customFormat="false" ht="23.85" hidden="false" customHeight="false" outlineLevel="0" collapsed="false">
      <c r="A20" s="8" t="s">
        <v>126</v>
      </c>
      <c r="B20" s="8" t="s">
        <v>120</v>
      </c>
      <c r="C20" s="9" t="n">
        <v>4</v>
      </c>
      <c r="D20" s="11" t="s">
        <v>127</v>
      </c>
      <c r="E20" s="8" t="s">
        <v>128</v>
      </c>
      <c r="F20" s="8" t="s">
        <v>129</v>
      </c>
      <c r="G20" s="8" t="s">
        <v>130</v>
      </c>
      <c r="H20" s="8" t="s">
        <v>15</v>
      </c>
      <c r="I20" s="8"/>
      <c r="J20" s="8" t="s">
        <v>131</v>
      </c>
    </row>
    <row r="21" customFormat="false" ht="23.85" hidden="false" customHeight="false" outlineLevel="0" collapsed="false">
      <c r="A21" s="8" t="s">
        <v>132</v>
      </c>
      <c r="B21" s="8" t="s">
        <v>120</v>
      </c>
      <c r="C21" s="9" t="n">
        <v>4</v>
      </c>
      <c r="D21" s="11" t="s">
        <v>133</v>
      </c>
      <c r="E21" s="8" t="s">
        <v>134</v>
      </c>
      <c r="F21" s="8" t="s">
        <v>135</v>
      </c>
      <c r="G21" s="8" t="s">
        <v>136</v>
      </c>
      <c r="H21" s="8" t="s">
        <v>15</v>
      </c>
      <c r="I21" s="8" t="s">
        <v>137</v>
      </c>
      <c r="J21" s="8" t="s">
        <v>138</v>
      </c>
    </row>
    <row r="22" customFormat="false" ht="23.85" hidden="false" customHeight="false" outlineLevel="0" collapsed="false">
      <c r="A22" s="8" t="s">
        <v>139</v>
      </c>
      <c r="B22" s="8" t="s">
        <v>120</v>
      </c>
      <c r="C22" s="9" t="n">
        <v>4</v>
      </c>
      <c r="D22" s="11" t="s">
        <v>140</v>
      </c>
      <c r="E22" s="8" t="s">
        <v>141</v>
      </c>
      <c r="F22" s="8" t="s">
        <v>142</v>
      </c>
      <c r="G22" s="8" t="s">
        <v>143</v>
      </c>
      <c r="H22" s="8" t="s">
        <v>15</v>
      </c>
      <c r="I22" s="8" t="s">
        <v>144</v>
      </c>
      <c r="J22" s="8" t="s">
        <v>145</v>
      </c>
    </row>
    <row r="23" customFormat="false" ht="23.85" hidden="false" customHeight="false" outlineLevel="0" collapsed="false">
      <c r="A23" s="8" t="s">
        <v>146</v>
      </c>
      <c r="B23" s="8" t="s">
        <v>120</v>
      </c>
      <c r="C23" s="9" t="n">
        <v>4</v>
      </c>
      <c r="D23" s="11" t="s">
        <v>147</v>
      </c>
      <c r="E23" s="8"/>
      <c r="F23" s="8" t="s">
        <v>148</v>
      </c>
      <c r="G23" s="8" t="s">
        <v>149</v>
      </c>
      <c r="H23" s="8" t="s">
        <v>15</v>
      </c>
      <c r="I23" s="8" t="s">
        <v>150</v>
      </c>
      <c r="J23" s="8" t="s">
        <v>151</v>
      </c>
    </row>
    <row r="24" customFormat="false" ht="23.85" hidden="false" customHeight="false" outlineLevel="0" collapsed="false">
      <c r="A24" s="8" t="s">
        <v>152</v>
      </c>
      <c r="B24" s="8" t="s">
        <v>120</v>
      </c>
      <c r="C24" s="9" t="n">
        <v>4</v>
      </c>
      <c r="D24" s="11" t="s">
        <v>153</v>
      </c>
      <c r="E24" s="8" t="s">
        <v>154</v>
      </c>
      <c r="F24" s="8" t="s">
        <v>155</v>
      </c>
      <c r="G24" s="8" t="s">
        <v>156</v>
      </c>
      <c r="H24" s="8" t="s">
        <v>15</v>
      </c>
      <c r="I24" s="8" t="s">
        <v>157</v>
      </c>
      <c r="J24" s="8" t="s">
        <v>158</v>
      </c>
    </row>
    <row r="25" customFormat="false" ht="23.85" hidden="false" customHeight="false" outlineLevel="0" collapsed="false">
      <c r="A25" s="8" t="s">
        <v>159</v>
      </c>
      <c r="B25" s="8" t="s">
        <v>62</v>
      </c>
      <c r="C25" s="9" t="n">
        <v>3</v>
      </c>
      <c r="D25" s="10" t="s">
        <v>160</v>
      </c>
      <c r="E25" s="8" t="s">
        <v>161</v>
      </c>
      <c r="F25" s="8" t="s">
        <v>162</v>
      </c>
      <c r="G25" s="8" t="s">
        <v>163</v>
      </c>
      <c r="H25" s="8" t="s">
        <v>15</v>
      </c>
      <c r="I25" s="8" t="s">
        <v>164</v>
      </c>
      <c r="J25" s="8" t="s">
        <v>165</v>
      </c>
    </row>
    <row r="26" customFormat="false" ht="35.05" hidden="false" customHeight="false" outlineLevel="0" collapsed="false">
      <c r="A26" s="5" t="s">
        <v>166</v>
      </c>
      <c r="B26" s="5" t="s">
        <v>10</v>
      </c>
      <c r="C26" s="6" t="n">
        <v>2</v>
      </c>
      <c r="D26" s="7" t="s">
        <v>167</v>
      </c>
      <c r="E26" s="5"/>
      <c r="F26" s="5" t="s">
        <v>168</v>
      </c>
      <c r="G26" s="5" t="s">
        <v>169</v>
      </c>
      <c r="H26" s="5" t="s">
        <v>15</v>
      </c>
      <c r="I26" s="5" t="s">
        <v>170</v>
      </c>
      <c r="J26" s="5" t="s">
        <v>171</v>
      </c>
    </row>
    <row r="27" customFormat="false" ht="23.85" hidden="false" customHeight="false" outlineLevel="0" collapsed="false">
      <c r="A27" s="8" t="s">
        <v>172</v>
      </c>
      <c r="B27" s="8" t="s">
        <v>166</v>
      </c>
      <c r="C27" s="9" t="n">
        <v>3</v>
      </c>
      <c r="D27" s="10" t="s">
        <v>173</v>
      </c>
      <c r="E27" s="8" t="s">
        <v>174</v>
      </c>
      <c r="F27" s="8" t="s">
        <v>175</v>
      </c>
      <c r="G27" s="8" t="s">
        <v>176</v>
      </c>
      <c r="H27" s="8" t="s">
        <v>15</v>
      </c>
      <c r="I27" s="8"/>
      <c r="J27" s="8" t="s">
        <v>177</v>
      </c>
    </row>
    <row r="28" customFormat="false" ht="15" hidden="false" customHeight="false" outlineLevel="0" collapsed="false">
      <c r="A28" s="8" t="s">
        <v>178</v>
      </c>
      <c r="B28" s="8" t="s">
        <v>166</v>
      </c>
      <c r="C28" s="9" t="n">
        <v>3</v>
      </c>
      <c r="D28" s="10" t="s">
        <v>179</v>
      </c>
      <c r="E28" s="8"/>
      <c r="F28" s="8" t="s">
        <v>180</v>
      </c>
      <c r="G28" s="8" t="s">
        <v>181</v>
      </c>
      <c r="H28" s="8" t="s">
        <v>15</v>
      </c>
      <c r="I28" s="8" t="s">
        <v>182</v>
      </c>
      <c r="J28" s="8" t="s">
        <v>183</v>
      </c>
    </row>
    <row r="29" customFormat="false" ht="15" hidden="false" customHeight="false" outlineLevel="0" collapsed="false">
      <c r="A29" s="8" t="s">
        <v>184</v>
      </c>
      <c r="B29" s="8" t="s">
        <v>178</v>
      </c>
      <c r="C29" s="9" t="n">
        <v>4</v>
      </c>
      <c r="D29" s="11" t="s">
        <v>185</v>
      </c>
      <c r="E29" s="8" t="s">
        <v>186</v>
      </c>
      <c r="F29" s="8" t="s">
        <v>187</v>
      </c>
      <c r="G29" s="8" t="s">
        <v>188</v>
      </c>
      <c r="H29" s="8" t="s">
        <v>15</v>
      </c>
      <c r="I29" s="8"/>
      <c r="J29" s="8" t="s">
        <v>189</v>
      </c>
    </row>
    <row r="30" customFormat="false" ht="23.85" hidden="false" customHeight="false" outlineLevel="0" collapsed="false">
      <c r="A30" s="8" t="s">
        <v>190</v>
      </c>
      <c r="B30" s="8" t="s">
        <v>178</v>
      </c>
      <c r="C30" s="9" t="n">
        <v>4</v>
      </c>
      <c r="D30" s="11" t="s">
        <v>191</v>
      </c>
      <c r="E30" s="8" t="s">
        <v>192</v>
      </c>
      <c r="F30" s="8" t="s">
        <v>193</v>
      </c>
      <c r="G30" s="8" t="s">
        <v>194</v>
      </c>
      <c r="H30" s="8" t="s">
        <v>15</v>
      </c>
      <c r="I30" s="8" t="s">
        <v>195</v>
      </c>
      <c r="J30" s="8" t="s">
        <v>196</v>
      </c>
    </row>
    <row r="31" customFormat="false" ht="23.85" hidden="false" customHeight="false" outlineLevel="0" collapsed="false">
      <c r="A31" s="8" t="s">
        <v>197</v>
      </c>
      <c r="B31" s="8" t="s">
        <v>178</v>
      </c>
      <c r="C31" s="9" t="n">
        <v>4</v>
      </c>
      <c r="D31" s="11" t="s">
        <v>198</v>
      </c>
      <c r="E31" s="8"/>
      <c r="F31" s="8" t="s">
        <v>199</v>
      </c>
      <c r="G31" s="8" t="s">
        <v>200</v>
      </c>
      <c r="H31" s="8" t="s">
        <v>15</v>
      </c>
      <c r="I31" s="8" t="s">
        <v>201</v>
      </c>
      <c r="J31" s="8" t="s">
        <v>202</v>
      </c>
    </row>
    <row r="32" customFormat="false" ht="23.85" hidden="false" customHeight="false" outlineLevel="0" collapsed="false">
      <c r="A32" s="8" t="s">
        <v>203</v>
      </c>
      <c r="B32" s="8" t="s">
        <v>197</v>
      </c>
      <c r="C32" s="9" t="n">
        <v>5</v>
      </c>
      <c r="D32" s="12" t="s">
        <v>204</v>
      </c>
      <c r="E32" s="8" t="s">
        <v>205</v>
      </c>
      <c r="F32" s="8" t="s">
        <v>206</v>
      </c>
      <c r="G32" s="8" t="s">
        <v>207</v>
      </c>
      <c r="H32" s="8" t="s">
        <v>15</v>
      </c>
      <c r="I32" s="8"/>
      <c r="J32" s="8" t="s">
        <v>208</v>
      </c>
    </row>
    <row r="33" customFormat="false" ht="23.85" hidden="false" customHeight="false" outlineLevel="0" collapsed="false">
      <c r="A33" s="8" t="s">
        <v>209</v>
      </c>
      <c r="B33" s="8" t="s">
        <v>197</v>
      </c>
      <c r="C33" s="9" t="n">
        <v>5</v>
      </c>
      <c r="D33" s="12" t="s">
        <v>210</v>
      </c>
      <c r="E33" s="8" t="s">
        <v>211</v>
      </c>
      <c r="F33" s="8" t="s">
        <v>212</v>
      </c>
      <c r="G33" s="8" t="s">
        <v>213</v>
      </c>
      <c r="H33" s="8" t="s">
        <v>15</v>
      </c>
      <c r="I33" s="8" t="s">
        <v>214</v>
      </c>
      <c r="J33" s="8" t="s">
        <v>215</v>
      </c>
    </row>
    <row r="34" customFormat="false" ht="23.85" hidden="false" customHeight="false" outlineLevel="0" collapsed="false">
      <c r="A34" s="8" t="s">
        <v>216</v>
      </c>
      <c r="B34" s="8" t="s">
        <v>197</v>
      </c>
      <c r="C34" s="9" t="n">
        <v>5</v>
      </c>
      <c r="D34" s="12" t="s">
        <v>217</v>
      </c>
      <c r="E34" s="8"/>
      <c r="F34" s="8" t="s">
        <v>218</v>
      </c>
      <c r="G34" s="8" t="s">
        <v>219</v>
      </c>
      <c r="H34" s="8" t="s">
        <v>15</v>
      </c>
      <c r="I34" s="8" t="s">
        <v>220</v>
      </c>
      <c r="J34" s="8" t="s">
        <v>221</v>
      </c>
    </row>
    <row r="35" customFormat="false" ht="23.85" hidden="false" customHeight="false" outlineLevel="0" collapsed="false">
      <c r="A35" s="8" t="s">
        <v>222</v>
      </c>
      <c r="B35" s="8" t="s">
        <v>197</v>
      </c>
      <c r="C35" s="9" t="n">
        <v>5</v>
      </c>
      <c r="D35" s="12" t="s">
        <v>223</v>
      </c>
      <c r="E35" s="8"/>
      <c r="F35" s="8" t="s">
        <v>224</v>
      </c>
      <c r="G35" s="8" t="s">
        <v>225</v>
      </c>
      <c r="H35" s="8" t="s">
        <v>15</v>
      </c>
      <c r="I35" s="8"/>
      <c r="J35" s="8" t="s">
        <v>226</v>
      </c>
    </row>
    <row r="36" customFormat="false" ht="23.85" hidden="false" customHeight="false" outlineLevel="0" collapsed="false">
      <c r="A36" s="8" t="s">
        <v>227</v>
      </c>
      <c r="B36" s="8" t="s">
        <v>178</v>
      </c>
      <c r="C36" s="9" t="n">
        <v>4</v>
      </c>
      <c r="D36" s="11" t="s">
        <v>228</v>
      </c>
      <c r="E36" s="8" t="s">
        <v>229</v>
      </c>
      <c r="F36" s="8" t="s">
        <v>230</v>
      </c>
      <c r="G36" s="8" t="s">
        <v>231</v>
      </c>
      <c r="H36" s="8" t="s">
        <v>15</v>
      </c>
      <c r="I36" s="8" t="s">
        <v>232</v>
      </c>
      <c r="J36" s="8" t="s">
        <v>233</v>
      </c>
    </row>
    <row r="37" customFormat="false" ht="23.85" hidden="false" customHeight="false" outlineLevel="0" collapsed="false">
      <c r="A37" s="8" t="s">
        <v>234</v>
      </c>
      <c r="B37" s="8" t="s">
        <v>178</v>
      </c>
      <c r="C37" s="9" t="n">
        <v>4</v>
      </c>
      <c r="D37" s="11" t="s">
        <v>235</v>
      </c>
      <c r="E37" s="8" t="s">
        <v>236</v>
      </c>
      <c r="F37" s="8" t="s">
        <v>237</v>
      </c>
      <c r="G37" s="8" t="s">
        <v>238</v>
      </c>
      <c r="H37" s="8" t="s">
        <v>15</v>
      </c>
      <c r="I37" s="8" t="s">
        <v>239</v>
      </c>
      <c r="J37" s="8" t="s">
        <v>240</v>
      </c>
    </row>
    <row r="38" customFormat="false" ht="23.85" hidden="false" customHeight="false" outlineLevel="0" collapsed="false">
      <c r="A38" s="8" t="s">
        <v>241</v>
      </c>
      <c r="B38" s="8" t="s">
        <v>166</v>
      </c>
      <c r="C38" s="9" t="n">
        <v>3</v>
      </c>
      <c r="D38" s="10" t="s">
        <v>242</v>
      </c>
      <c r="E38" s="8"/>
      <c r="F38" s="8" t="s">
        <v>243</v>
      </c>
      <c r="G38" s="8" t="s">
        <v>244</v>
      </c>
      <c r="H38" s="8" t="s">
        <v>15</v>
      </c>
      <c r="I38" s="8" t="s">
        <v>245</v>
      </c>
      <c r="J38" s="8" t="s">
        <v>246</v>
      </c>
    </row>
    <row r="39" customFormat="false" ht="23.85" hidden="false" customHeight="false" outlineLevel="0" collapsed="false">
      <c r="A39" s="8" t="s">
        <v>247</v>
      </c>
      <c r="B39" s="8" t="s">
        <v>166</v>
      </c>
      <c r="C39" s="9" t="n">
        <v>3</v>
      </c>
      <c r="D39" s="10" t="s">
        <v>248</v>
      </c>
      <c r="E39" s="8"/>
      <c r="F39" s="8" t="s">
        <v>249</v>
      </c>
      <c r="G39" s="8" t="s">
        <v>250</v>
      </c>
      <c r="H39" s="8" t="s">
        <v>15</v>
      </c>
      <c r="I39" s="8" t="s">
        <v>251</v>
      </c>
      <c r="J39" s="8" t="s">
        <v>252</v>
      </c>
    </row>
    <row r="40" customFormat="false" ht="23.85" hidden="false" customHeight="false" outlineLevel="0" collapsed="false">
      <c r="A40" s="8" t="s">
        <v>253</v>
      </c>
      <c r="B40" s="8" t="s">
        <v>166</v>
      </c>
      <c r="C40" s="9" t="n">
        <v>3</v>
      </c>
      <c r="D40" s="10" t="s">
        <v>254</v>
      </c>
      <c r="E40" s="8" t="s">
        <v>255</v>
      </c>
      <c r="F40" s="8" t="s">
        <v>256</v>
      </c>
      <c r="G40" s="8" t="s">
        <v>257</v>
      </c>
      <c r="H40" s="8" t="s">
        <v>258</v>
      </c>
      <c r="I40" s="8" t="s">
        <v>259</v>
      </c>
      <c r="J40" s="8" t="s">
        <v>260</v>
      </c>
    </row>
    <row r="41" customFormat="false" ht="23.85" hidden="false" customHeight="false" outlineLevel="0" collapsed="false">
      <c r="A41" s="5" t="s">
        <v>261</v>
      </c>
      <c r="B41" s="5" t="s">
        <v>10</v>
      </c>
      <c r="C41" s="6" t="n">
        <v>2</v>
      </c>
      <c r="D41" s="7" t="s">
        <v>262</v>
      </c>
      <c r="E41" s="5" t="s">
        <v>263</v>
      </c>
      <c r="F41" s="5" t="s">
        <v>264</v>
      </c>
      <c r="G41" s="5" t="s">
        <v>265</v>
      </c>
      <c r="H41" s="5" t="s">
        <v>258</v>
      </c>
      <c r="I41" s="5" t="s">
        <v>266</v>
      </c>
      <c r="J41" s="5" t="s">
        <v>267</v>
      </c>
    </row>
    <row r="42" customFormat="false" ht="23.85" hidden="false" customHeight="false" outlineLevel="0" collapsed="false">
      <c r="A42" s="8" t="s">
        <v>268</v>
      </c>
      <c r="B42" s="8" t="s">
        <v>261</v>
      </c>
      <c r="C42" s="9" t="n">
        <v>3</v>
      </c>
      <c r="D42" s="10" t="s">
        <v>269</v>
      </c>
      <c r="E42" s="8" t="s">
        <v>270</v>
      </c>
      <c r="F42" s="8" t="s">
        <v>271</v>
      </c>
      <c r="G42" s="8" t="s">
        <v>272</v>
      </c>
      <c r="H42" s="8" t="s">
        <v>258</v>
      </c>
      <c r="I42" s="8" t="s">
        <v>273</v>
      </c>
      <c r="J42" s="8" t="s">
        <v>274</v>
      </c>
    </row>
    <row r="43" customFormat="false" ht="23.85" hidden="false" customHeight="false" outlineLevel="0" collapsed="false">
      <c r="A43" s="8" t="s">
        <v>275</v>
      </c>
      <c r="B43" s="8" t="s">
        <v>261</v>
      </c>
      <c r="C43" s="9" t="n">
        <v>3</v>
      </c>
      <c r="D43" s="10" t="s">
        <v>276</v>
      </c>
      <c r="E43" s="8" t="s">
        <v>277</v>
      </c>
      <c r="F43" s="8" t="s">
        <v>278</v>
      </c>
      <c r="G43" s="8" t="s">
        <v>279</v>
      </c>
      <c r="H43" s="8" t="s">
        <v>280</v>
      </c>
      <c r="I43" s="8"/>
      <c r="J43" s="8" t="s">
        <v>281</v>
      </c>
    </row>
    <row r="44" customFormat="false" ht="15" hidden="false" customHeight="false" outlineLevel="0" collapsed="false">
      <c r="A44" s="8" t="s">
        <v>282</v>
      </c>
      <c r="B44" s="8" t="s">
        <v>261</v>
      </c>
      <c r="C44" s="9" t="n">
        <v>3</v>
      </c>
      <c r="D44" s="10" t="s">
        <v>283</v>
      </c>
      <c r="E44" s="8" t="s">
        <v>284</v>
      </c>
      <c r="F44" s="8" t="s">
        <v>285</v>
      </c>
      <c r="G44" s="8" t="s">
        <v>286</v>
      </c>
      <c r="H44" s="8" t="s">
        <v>280</v>
      </c>
      <c r="I44" s="8"/>
      <c r="J44" s="8" t="s">
        <v>287</v>
      </c>
    </row>
    <row r="45" customFormat="false" ht="23.85" hidden="false" customHeight="false" outlineLevel="0" collapsed="false">
      <c r="A45" s="8" t="s">
        <v>288</v>
      </c>
      <c r="B45" s="8" t="s">
        <v>261</v>
      </c>
      <c r="C45" s="9" t="n">
        <v>3</v>
      </c>
      <c r="D45" s="10" t="s">
        <v>289</v>
      </c>
      <c r="E45" s="8" t="s">
        <v>290</v>
      </c>
      <c r="F45" s="8" t="s">
        <v>291</v>
      </c>
      <c r="G45" s="8" t="s">
        <v>292</v>
      </c>
      <c r="H45" s="8" t="s">
        <v>258</v>
      </c>
      <c r="I45" s="8" t="s">
        <v>293</v>
      </c>
      <c r="J45" s="8" t="s">
        <v>294</v>
      </c>
    </row>
    <row r="46" customFormat="false" ht="23.85" hidden="false" customHeight="false" outlineLevel="0" collapsed="false">
      <c r="A46" s="8" t="s">
        <v>295</v>
      </c>
      <c r="B46" s="8" t="s">
        <v>261</v>
      </c>
      <c r="C46" s="9" t="n">
        <v>3</v>
      </c>
      <c r="D46" s="10" t="s">
        <v>296</v>
      </c>
      <c r="E46" s="8" t="s">
        <v>297</v>
      </c>
      <c r="F46" s="8" t="s">
        <v>298</v>
      </c>
      <c r="G46" s="8" t="s">
        <v>299</v>
      </c>
      <c r="H46" s="8" t="s">
        <v>258</v>
      </c>
      <c r="I46" s="8"/>
      <c r="J46" s="8" t="s">
        <v>300</v>
      </c>
    </row>
    <row r="47" customFormat="false" ht="23.85" hidden="false" customHeight="false" outlineLevel="0" collapsed="false">
      <c r="A47" s="8" t="s">
        <v>301</v>
      </c>
      <c r="B47" s="8" t="s">
        <v>261</v>
      </c>
      <c r="C47" s="9" t="n">
        <v>3</v>
      </c>
      <c r="D47" s="10" t="s">
        <v>302</v>
      </c>
      <c r="E47" s="8" t="s">
        <v>303</v>
      </c>
      <c r="F47" s="8" t="s">
        <v>304</v>
      </c>
      <c r="G47" s="8" t="s">
        <v>305</v>
      </c>
      <c r="H47" s="8" t="s">
        <v>258</v>
      </c>
      <c r="I47" s="8"/>
      <c r="J47" s="8" t="s">
        <v>306</v>
      </c>
    </row>
    <row r="48" customFormat="false" ht="23.85" hidden="false" customHeight="false" outlineLevel="0" collapsed="false">
      <c r="A48" s="8" t="s">
        <v>307</v>
      </c>
      <c r="B48" s="8" t="s">
        <v>261</v>
      </c>
      <c r="C48" s="9" t="n">
        <v>3</v>
      </c>
      <c r="D48" s="10" t="s">
        <v>308</v>
      </c>
      <c r="E48" s="8"/>
      <c r="F48" s="8" t="s">
        <v>309</v>
      </c>
      <c r="G48" s="8" t="s">
        <v>310</v>
      </c>
      <c r="H48" s="8" t="s">
        <v>258</v>
      </c>
      <c r="I48" s="8" t="s">
        <v>311</v>
      </c>
      <c r="J48" s="8" t="s">
        <v>312</v>
      </c>
    </row>
    <row r="49" customFormat="false" ht="15" hidden="false" customHeight="false" outlineLevel="0" collapsed="false">
      <c r="A49" s="5" t="s">
        <v>313</v>
      </c>
      <c r="B49" s="5" t="s">
        <v>10</v>
      </c>
      <c r="C49" s="6" t="n">
        <v>2</v>
      </c>
      <c r="D49" s="7" t="s">
        <v>314</v>
      </c>
      <c r="E49" s="5" t="s">
        <v>315</v>
      </c>
      <c r="F49" s="5" t="s">
        <v>316</v>
      </c>
      <c r="G49" s="5" t="s">
        <v>317</v>
      </c>
      <c r="H49" s="5" t="s">
        <v>15</v>
      </c>
      <c r="I49" s="5"/>
      <c r="J49" s="5" t="s">
        <v>318</v>
      </c>
    </row>
    <row r="50" customFormat="false" ht="15" hidden="false" customHeight="false" outlineLevel="0" collapsed="false">
      <c r="A50" s="8" t="s">
        <v>319</v>
      </c>
      <c r="B50" s="8" t="s">
        <v>313</v>
      </c>
      <c r="C50" s="9" t="n">
        <v>3</v>
      </c>
      <c r="D50" s="10" t="s">
        <v>320</v>
      </c>
      <c r="E50" s="8" t="s">
        <v>321</v>
      </c>
      <c r="F50" s="8" t="s">
        <v>322</v>
      </c>
      <c r="G50" s="8" t="s">
        <v>323</v>
      </c>
      <c r="H50" s="8" t="s">
        <v>15</v>
      </c>
      <c r="I50" s="8"/>
      <c r="J50" s="8" t="s">
        <v>324</v>
      </c>
    </row>
    <row r="51" customFormat="false" ht="23.85" hidden="false" customHeight="false" outlineLevel="0" collapsed="false">
      <c r="A51" s="8" t="s">
        <v>325</v>
      </c>
      <c r="B51" s="8" t="s">
        <v>313</v>
      </c>
      <c r="C51" s="9" t="n">
        <v>3</v>
      </c>
      <c r="D51" s="10" t="s">
        <v>326</v>
      </c>
      <c r="E51" s="8"/>
      <c r="F51" s="8" t="s">
        <v>327</v>
      </c>
      <c r="G51" s="8" t="s">
        <v>328</v>
      </c>
      <c r="H51" s="8" t="s">
        <v>15</v>
      </c>
      <c r="I51" s="8"/>
      <c r="J51" s="8" t="s">
        <v>329</v>
      </c>
    </row>
    <row r="52" customFormat="false" ht="23.85" hidden="false" customHeight="false" outlineLevel="0" collapsed="false">
      <c r="A52" s="8" t="s">
        <v>330</v>
      </c>
      <c r="B52" s="8" t="s">
        <v>313</v>
      </c>
      <c r="C52" s="9" t="n">
        <v>3</v>
      </c>
      <c r="D52" s="10" t="s">
        <v>331</v>
      </c>
      <c r="E52" s="8" t="s">
        <v>332</v>
      </c>
      <c r="F52" s="8" t="s">
        <v>333</v>
      </c>
      <c r="G52" s="8" t="s">
        <v>334</v>
      </c>
      <c r="H52" s="8" t="s">
        <v>15</v>
      </c>
      <c r="I52" s="8" t="s">
        <v>335</v>
      </c>
      <c r="J52" s="8" t="s">
        <v>336</v>
      </c>
    </row>
    <row r="53" customFormat="false" ht="15" hidden="false" customHeight="false" outlineLevel="0" collapsed="false">
      <c r="A53" s="8" t="s">
        <v>337</v>
      </c>
      <c r="B53" s="8" t="s">
        <v>330</v>
      </c>
      <c r="C53" s="9" t="n">
        <v>4</v>
      </c>
      <c r="D53" s="11" t="s">
        <v>338</v>
      </c>
      <c r="E53" s="8"/>
      <c r="F53" s="8" t="s">
        <v>339</v>
      </c>
      <c r="G53" s="8" t="s">
        <v>340</v>
      </c>
      <c r="H53" s="8" t="s">
        <v>15</v>
      </c>
      <c r="I53" s="8"/>
      <c r="J53" s="8" t="s">
        <v>341</v>
      </c>
    </row>
    <row r="54" customFormat="false" ht="15" hidden="false" customHeight="false" outlineLevel="0" collapsed="false">
      <c r="A54" s="8" t="s">
        <v>342</v>
      </c>
      <c r="B54" s="8" t="s">
        <v>330</v>
      </c>
      <c r="C54" s="9" t="n">
        <v>4</v>
      </c>
      <c r="D54" s="11" t="s">
        <v>343</v>
      </c>
      <c r="E54" s="8"/>
      <c r="F54" s="8" t="s">
        <v>344</v>
      </c>
      <c r="G54" s="8" t="s">
        <v>345</v>
      </c>
      <c r="H54" s="8" t="s">
        <v>15</v>
      </c>
      <c r="I54" s="8"/>
      <c r="J54" s="8" t="s">
        <v>346</v>
      </c>
    </row>
    <row r="55" customFormat="false" ht="23.85" hidden="false" customHeight="false" outlineLevel="0" collapsed="false">
      <c r="A55" s="8" t="s">
        <v>347</v>
      </c>
      <c r="B55" s="8" t="s">
        <v>330</v>
      </c>
      <c r="C55" s="9" t="n">
        <v>4</v>
      </c>
      <c r="D55" s="11" t="s">
        <v>348</v>
      </c>
      <c r="E55" s="8"/>
      <c r="F55" s="8" t="s">
        <v>349</v>
      </c>
      <c r="G55" s="8" t="s">
        <v>350</v>
      </c>
      <c r="H55" s="8" t="s">
        <v>15</v>
      </c>
      <c r="I55" s="8"/>
      <c r="J55" s="8" t="s">
        <v>351</v>
      </c>
    </row>
    <row r="56" customFormat="false" ht="23.85" hidden="false" customHeight="false" outlineLevel="0" collapsed="false">
      <c r="A56" s="8" t="s">
        <v>352</v>
      </c>
      <c r="B56" s="8" t="s">
        <v>313</v>
      </c>
      <c r="C56" s="9" t="n">
        <v>3</v>
      </c>
      <c r="D56" s="10" t="s">
        <v>353</v>
      </c>
      <c r="E56" s="8"/>
      <c r="F56" s="8" t="s">
        <v>354</v>
      </c>
      <c r="G56" s="8" t="s">
        <v>355</v>
      </c>
      <c r="H56" s="8" t="s">
        <v>15</v>
      </c>
      <c r="I56" s="8" t="s">
        <v>356</v>
      </c>
      <c r="J56" s="8" t="s">
        <v>357</v>
      </c>
    </row>
    <row r="57" customFormat="false" ht="15" hidden="false" customHeight="false" outlineLevel="0" collapsed="false">
      <c r="A57" s="8" t="s">
        <v>358</v>
      </c>
      <c r="B57" s="8" t="s">
        <v>313</v>
      </c>
      <c r="C57" s="9" t="n">
        <v>3</v>
      </c>
      <c r="D57" s="10" t="s">
        <v>359</v>
      </c>
      <c r="E57" s="8" t="s">
        <v>360</v>
      </c>
      <c r="F57" s="8" t="s">
        <v>361</v>
      </c>
      <c r="G57" s="8" t="s">
        <v>362</v>
      </c>
      <c r="H57" s="8" t="s">
        <v>15</v>
      </c>
      <c r="I57" s="8"/>
      <c r="J57" s="8" t="s">
        <v>363</v>
      </c>
    </row>
    <row r="58" customFormat="false" ht="23.85" hidden="false" customHeight="false" outlineLevel="0" collapsed="false">
      <c r="A58" s="8" t="s">
        <v>364</v>
      </c>
      <c r="B58" s="8" t="s">
        <v>313</v>
      </c>
      <c r="C58" s="9" t="n">
        <v>3</v>
      </c>
      <c r="D58" s="10" t="s">
        <v>365</v>
      </c>
      <c r="E58" s="8" t="s">
        <v>366</v>
      </c>
      <c r="F58" s="8" t="s">
        <v>367</v>
      </c>
      <c r="G58" s="8" t="s">
        <v>368</v>
      </c>
      <c r="H58" s="8" t="s">
        <v>15</v>
      </c>
      <c r="I58" s="8"/>
      <c r="J58" s="8" t="s">
        <v>369</v>
      </c>
    </row>
    <row r="59" customFormat="false" ht="23.85" hidden="false" customHeight="false" outlineLevel="0" collapsed="false">
      <c r="A59" s="8" t="s">
        <v>370</v>
      </c>
      <c r="B59" s="8" t="s">
        <v>313</v>
      </c>
      <c r="C59" s="9" t="n">
        <v>3</v>
      </c>
      <c r="D59" s="10" t="s">
        <v>371</v>
      </c>
      <c r="E59" s="8" t="s">
        <v>372</v>
      </c>
      <c r="F59" s="8" t="s">
        <v>373</v>
      </c>
      <c r="G59" s="8" t="s">
        <v>374</v>
      </c>
      <c r="H59" s="8" t="s">
        <v>15</v>
      </c>
      <c r="I59" s="8" t="s">
        <v>375</v>
      </c>
      <c r="J59" s="8" t="s">
        <v>376</v>
      </c>
    </row>
    <row r="60" customFormat="false" ht="35.05" hidden="false" customHeight="false" outlineLevel="0" collapsed="false">
      <c r="A60" s="2" t="s">
        <v>377</v>
      </c>
      <c r="B60" s="2"/>
      <c r="C60" s="3" t="n">
        <v>1</v>
      </c>
      <c r="D60" s="4" t="s">
        <v>378</v>
      </c>
      <c r="E60" s="2" t="s">
        <v>379</v>
      </c>
      <c r="F60" s="2" t="s">
        <v>380</v>
      </c>
      <c r="G60" s="2" t="s">
        <v>381</v>
      </c>
      <c r="H60" s="2" t="s">
        <v>280</v>
      </c>
      <c r="I60" s="2" t="s">
        <v>382</v>
      </c>
      <c r="J60" s="2" t="s">
        <v>378</v>
      </c>
    </row>
    <row r="61" customFormat="false" ht="23.85" hidden="false" customHeight="false" outlineLevel="0" collapsed="false">
      <c r="A61" s="5" t="s">
        <v>383</v>
      </c>
      <c r="B61" s="5" t="s">
        <v>377</v>
      </c>
      <c r="C61" s="6" t="n">
        <v>2</v>
      </c>
      <c r="D61" s="7" t="s">
        <v>384</v>
      </c>
      <c r="E61" s="5" t="s">
        <v>385</v>
      </c>
      <c r="F61" s="5" t="s">
        <v>386</v>
      </c>
      <c r="G61" s="5" t="s">
        <v>387</v>
      </c>
      <c r="H61" s="5" t="s">
        <v>280</v>
      </c>
      <c r="I61" s="5" t="s">
        <v>388</v>
      </c>
      <c r="J61" s="5" t="s">
        <v>389</v>
      </c>
    </row>
    <row r="62" customFormat="false" ht="15" hidden="false" customHeight="false" outlineLevel="0" collapsed="false">
      <c r="A62" s="8" t="s">
        <v>390</v>
      </c>
      <c r="B62" s="8" t="s">
        <v>383</v>
      </c>
      <c r="C62" s="9" t="n">
        <v>3</v>
      </c>
      <c r="D62" s="10" t="s">
        <v>391</v>
      </c>
      <c r="E62" s="8" t="s">
        <v>392</v>
      </c>
      <c r="F62" s="8" t="s">
        <v>393</v>
      </c>
      <c r="G62" s="8" t="s">
        <v>394</v>
      </c>
      <c r="H62" s="8" t="s">
        <v>280</v>
      </c>
      <c r="I62" s="8"/>
      <c r="J62" s="8" t="s">
        <v>395</v>
      </c>
    </row>
    <row r="63" customFormat="false" ht="23.85" hidden="false" customHeight="false" outlineLevel="0" collapsed="false">
      <c r="A63" s="8" t="s">
        <v>396</v>
      </c>
      <c r="B63" s="8" t="s">
        <v>390</v>
      </c>
      <c r="C63" s="9" t="n">
        <v>4</v>
      </c>
      <c r="D63" s="11" t="s">
        <v>397</v>
      </c>
      <c r="E63" s="8"/>
      <c r="F63" s="8" t="s">
        <v>398</v>
      </c>
      <c r="G63" s="8" t="s">
        <v>399</v>
      </c>
      <c r="H63" s="8" t="s">
        <v>280</v>
      </c>
      <c r="I63" s="8" t="s">
        <v>400</v>
      </c>
      <c r="J63" s="8" t="s">
        <v>401</v>
      </c>
    </row>
    <row r="64" customFormat="false" ht="23.85" hidden="false" customHeight="false" outlineLevel="0" collapsed="false">
      <c r="A64" s="8" t="s">
        <v>402</v>
      </c>
      <c r="B64" s="8" t="s">
        <v>390</v>
      </c>
      <c r="C64" s="9" t="n">
        <v>4</v>
      </c>
      <c r="D64" s="11" t="s">
        <v>403</v>
      </c>
      <c r="E64" s="8"/>
      <c r="F64" s="8" t="s">
        <v>404</v>
      </c>
      <c r="G64" s="8" t="s">
        <v>405</v>
      </c>
      <c r="H64" s="8" t="s">
        <v>280</v>
      </c>
      <c r="I64" s="8" t="s">
        <v>406</v>
      </c>
      <c r="J64" s="8" t="s">
        <v>407</v>
      </c>
    </row>
    <row r="65" customFormat="false" ht="23.85" hidden="false" customHeight="false" outlineLevel="0" collapsed="false">
      <c r="A65" s="8" t="s">
        <v>408</v>
      </c>
      <c r="B65" s="8" t="s">
        <v>390</v>
      </c>
      <c r="C65" s="9" t="n">
        <v>4</v>
      </c>
      <c r="D65" s="11" t="s">
        <v>409</v>
      </c>
      <c r="E65" s="8"/>
      <c r="F65" s="8" t="s">
        <v>410</v>
      </c>
      <c r="G65" s="8" t="s">
        <v>411</v>
      </c>
      <c r="H65" s="8" t="s">
        <v>280</v>
      </c>
      <c r="I65" s="8"/>
      <c r="J65" s="8" t="s">
        <v>412</v>
      </c>
    </row>
    <row r="66" customFormat="false" ht="23.85" hidden="false" customHeight="false" outlineLevel="0" collapsed="false">
      <c r="A66" s="8" t="s">
        <v>413</v>
      </c>
      <c r="B66" s="8" t="s">
        <v>390</v>
      </c>
      <c r="C66" s="9" t="n">
        <v>4</v>
      </c>
      <c r="D66" s="11" t="s">
        <v>414</v>
      </c>
      <c r="E66" s="8"/>
      <c r="F66" s="8" t="s">
        <v>415</v>
      </c>
      <c r="G66" s="8" t="s">
        <v>416</v>
      </c>
      <c r="H66" s="8" t="s">
        <v>280</v>
      </c>
      <c r="I66" s="8"/>
      <c r="J66" s="8" t="s">
        <v>417</v>
      </c>
    </row>
    <row r="67" customFormat="false" ht="23.85" hidden="false" customHeight="false" outlineLevel="0" collapsed="false">
      <c r="A67" s="8" t="s">
        <v>418</v>
      </c>
      <c r="B67" s="8" t="s">
        <v>390</v>
      </c>
      <c r="C67" s="9" t="n">
        <v>4</v>
      </c>
      <c r="D67" s="11" t="s">
        <v>419</v>
      </c>
      <c r="E67" s="8" t="s">
        <v>420</v>
      </c>
      <c r="F67" s="8" t="s">
        <v>421</v>
      </c>
      <c r="G67" s="8" t="s">
        <v>422</v>
      </c>
      <c r="H67" s="8" t="s">
        <v>280</v>
      </c>
      <c r="I67" s="8" t="s">
        <v>423</v>
      </c>
      <c r="J67" s="8" t="s">
        <v>424</v>
      </c>
    </row>
    <row r="68" customFormat="false" ht="15" hidden="false" customHeight="false" outlineLevel="0" collapsed="false">
      <c r="A68" s="8" t="s">
        <v>425</v>
      </c>
      <c r="B68" s="8" t="s">
        <v>390</v>
      </c>
      <c r="C68" s="9" t="n">
        <v>4</v>
      </c>
      <c r="D68" s="11" t="s">
        <v>426</v>
      </c>
      <c r="E68" s="8" t="s">
        <v>427</v>
      </c>
      <c r="F68" s="8" t="s">
        <v>428</v>
      </c>
      <c r="G68" s="8" t="s">
        <v>429</v>
      </c>
      <c r="H68" s="8" t="s">
        <v>280</v>
      </c>
      <c r="I68" s="8"/>
      <c r="J68" s="8" t="s">
        <v>430</v>
      </c>
    </row>
    <row r="69" customFormat="false" ht="35.05" hidden="false" customHeight="false" outlineLevel="0" collapsed="false">
      <c r="A69" s="8" t="s">
        <v>431</v>
      </c>
      <c r="B69" s="8" t="s">
        <v>383</v>
      </c>
      <c r="C69" s="9" t="n">
        <v>3</v>
      </c>
      <c r="D69" s="10" t="s">
        <v>432</v>
      </c>
      <c r="E69" s="8" t="s">
        <v>433</v>
      </c>
      <c r="F69" s="8" t="s">
        <v>434</v>
      </c>
      <c r="G69" s="8" t="s">
        <v>435</v>
      </c>
      <c r="H69" s="8" t="s">
        <v>15</v>
      </c>
      <c r="I69" s="8" t="s">
        <v>436</v>
      </c>
      <c r="J69" s="8" t="s">
        <v>437</v>
      </c>
    </row>
    <row r="70" customFormat="false" ht="15" hidden="false" customHeight="false" outlineLevel="0" collapsed="false">
      <c r="A70" s="8" t="s">
        <v>438</v>
      </c>
      <c r="B70" s="8" t="s">
        <v>431</v>
      </c>
      <c r="C70" s="9" t="n">
        <v>4</v>
      </c>
      <c r="D70" s="11" t="s">
        <v>439</v>
      </c>
      <c r="E70" s="8"/>
      <c r="F70" s="8" t="s">
        <v>440</v>
      </c>
      <c r="G70" s="8" t="s">
        <v>441</v>
      </c>
      <c r="H70" s="8" t="s">
        <v>15</v>
      </c>
      <c r="I70" s="8" t="s">
        <v>442</v>
      </c>
      <c r="J70" s="8" t="s">
        <v>443</v>
      </c>
    </row>
    <row r="71" customFormat="false" ht="23.85" hidden="false" customHeight="false" outlineLevel="0" collapsed="false">
      <c r="A71" s="8" t="s">
        <v>444</v>
      </c>
      <c r="B71" s="8" t="s">
        <v>431</v>
      </c>
      <c r="C71" s="9" t="n">
        <v>4</v>
      </c>
      <c r="D71" s="11" t="s">
        <v>445</v>
      </c>
      <c r="E71" s="8"/>
      <c r="F71" s="8" t="s">
        <v>446</v>
      </c>
      <c r="G71" s="8" t="s">
        <v>447</v>
      </c>
      <c r="H71" s="8" t="s">
        <v>15</v>
      </c>
      <c r="I71" s="8" t="s">
        <v>448</v>
      </c>
      <c r="J71" s="8" t="s">
        <v>449</v>
      </c>
    </row>
    <row r="72" customFormat="false" ht="23.85" hidden="false" customHeight="false" outlineLevel="0" collapsed="false">
      <c r="A72" s="8" t="s">
        <v>450</v>
      </c>
      <c r="B72" s="8" t="s">
        <v>444</v>
      </c>
      <c r="C72" s="9" t="n">
        <v>5</v>
      </c>
      <c r="D72" s="12" t="s">
        <v>451</v>
      </c>
      <c r="E72" s="8" t="s">
        <v>452</v>
      </c>
      <c r="F72" s="8" t="s">
        <v>453</v>
      </c>
      <c r="G72" s="8" t="s">
        <v>454</v>
      </c>
      <c r="H72" s="8" t="s">
        <v>15</v>
      </c>
      <c r="I72" s="8" t="s">
        <v>455</v>
      </c>
      <c r="J72" s="8" t="s">
        <v>456</v>
      </c>
    </row>
    <row r="73" customFormat="false" ht="23.85" hidden="false" customHeight="false" outlineLevel="0" collapsed="false">
      <c r="A73" s="8" t="s">
        <v>457</v>
      </c>
      <c r="B73" s="8" t="s">
        <v>444</v>
      </c>
      <c r="C73" s="9" t="n">
        <v>5</v>
      </c>
      <c r="D73" s="12" t="s">
        <v>458</v>
      </c>
      <c r="E73" s="8" t="s">
        <v>459</v>
      </c>
      <c r="F73" s="8" t="s">
        <v>460</v>
      </c>
      <c r="G73" s="8" t="s">
        <v>461</v>
      </c>
      <c r="H73" s="8" t="s">
        <v>15</v>
      </c>
      <c r="I73" s="8"/>
      <c r="J73" s="8" t="s">
        <v>462</v>
      </c>
    </row>
    <row r="74" customFormat="false" ht="23.85" hidden="false" customHeight="false" outlineLevel="0" collapsed="false">
      <c r="A74" s="8" t="s">
        <v>463</v>
      </c>
      <c r="B74" s="8" t="s">
        <v>444</v>
      </c>
      <c r="C74" s="9" t="n">
        <v>5</v>
      </c>
      <c r="D74" s="12" t="s">
        <v>464</v>
      </c>
      <c r="E74" s="8" t="s">
        <v>465</v>
      </c>
      <c r="F74" s="8" t="s">
        <v>466</v>
      </c>
      <c r="G74" s="8" t="s">
        <v>467</v>
      </c>
      <c r="H74" s="8" t="s">
        <v>15</v>
      </c>
      <c r="I74" s="8"/>
      <c r="J74" s="8" t="s">
        <v>468</v>
      </c>
    </row>
    <row r="75" customFormat="false" ht="15" hidden="false" customHeight="false" outlineLevel="0" collapsed="false">
      <c r="A75" s="8" t="s">
        <v>469</v>
      </c>
      <c r="B75" s="8" t="s">
        <v>431</v>
      </c>
      <c r="C75" s="9" t="n">
        <v>4</v>
      </c>
      <c r="D75" s="11" t="s">
        <v>470</v>
      </c>
      <c r="E75" s="8"/>
      <c r="F75" s="8" t="s">
        <v>471</v>
      </c>
      <c r="G75" s="8" t="s">
        <v>472</v>
      </c>
      <c r="H75" s="8" t="s">
        <v>15</v>
      </c>
      <c r="I75" s="8" t="s">
        <v>473</v>
      </c>
      <c r="J75" s="8" t="s">
        <v>474</v>
      </c>
    </row>
    <row r="76" customFormat="false" ht="15" hidden="false" customHeight="false" outlineLevel="0" collapsed="false">
      <c r="A76" s="8" t="s">
        <v>475</v>
      </c>
      <c r="B76" s="8" t="s">
        <v>431</v>
      </c>
      <c r="C76" s="9" t="n">
        <v>4</v>
      </c>
      <c r="D76" s="11" t="s">
        <v>476</v>
      </c>
      <c r="E76" s="8"/>
      <c r="F76" s="8" t="s">
        <v>477</v>
      </c>
      <c r="G76" s="8" t="s">
        <v>478</v>
      </c>
      <c r="H76" s="8" t="s">
        <v>15</v>
      </c>
      <c r="I76" s="8" t="s">
        <v>479</v>
      </c>
      <c r="J76" s="8" t="s">
        <v>480</v>
      </c>
    </row>
    <row r="77" customFormat="false" ht="23.85" hidden="false" customHeight="false" outlineLevel="0" collapsed="false">
      <c r="A77" s="8" t="s">
        <v>481</v>
      </c>
      <c r="B77" s="8" t="s">
        <v>431</v>
      </c>
      <c r="C77" s="9" t="n">
        <v>4</v>
      </c>
      <c r="D77" s="11" t="s">
        <v>482</v>
      </c>
      <c r="E77" s="8"/>
      <c r="F77" s="8" t="s">
        <v>483</v>
      </c>
      <c r="G77" s="8" t="s">
        <v>484</v>
      </c>
      <c r="H77" s="8" t="s">
        <v>15</v>
      </c>
      <c r="I77" s="8" t="s">
        <v>485</v>
      </c>
      <c r="J77" s="8" t="s">
        <v>486</v>
      </c>
    </row>
    <row r="78" customFormat="false" ht="23.85" hidden="false" customHeight="false" outlineLevel="0" collapsed="false">
      <c r="A78" s="8" t="s">
        <v>487</v>
      </c>
      <c r="B78" s="8" t="s">
        <v>383</v>
      </c>
      <c r="C78" s="9" t="n">
        <v>3</v>
      </c>
      <c r="D78" s="10" t="s">
        <v>488</v>
      </c>
      <c r="E78" s="8" t="s">
        <v>489</v>
      </c>
      <c r="F78" s="8" t="s">
        <v>490</v>
      </c>
      <c r="G78" s="8" t="s">
        <v>491</v>
      </c>
      <c r="H78" s="8" t="s">
        <v>258</v>
      </c>
      <c r="I78" s="8" t="s">
        <v>492</v>
      </c>
      <c r="J78" s="8" t="s">
        <v>493</v>
      </c>
    </row>
    <row r="79" customFormat="false" ht="15" hidden="false" customHeight="false" outlineLevel="0" collapsed="false">
      <c r="A79" s="8" t="s">
        <v>494</v>
      </c>
      <c r="B79" s="8" t="s">
        <v>487</v>
      </c>
      <c r="C79" s="9" t="n">
        <v>4</v>
      </c>
      <c r="D79" s="11" t="s">
        <v>495</v>
      </c>
      <c r="E79" s="8"/>
      <c r="F79" s="8" t="s">
        <v>496</v>
      </c>
      <c r="G79" s="8" t="s">
        <v>497</v>
      </c>
      <c r="H79" s="8" t="s">
        <v>258</v>
      </c>
      <c r="I79" s="8" t="s">
        <v>498</v>
      </c>
      <c r="J79" s="8" t="s">
        <v>499</v>
      </c>
    </row>
    <row r="80" customFormat="false" ht="23.85" hidden="false" customHeight="false" outlineLevel="0" collapsed="false">
      <c r="A80" s="8" t="s">
        <v>500</v>
      </c>
      <c r="B80" s="8" t="s">
        <v>487</v>
      </c>
      <c r="C80" s="9" t="n">
        <v>4</v>
      </c>
      <c r="D80" s="11" t="s">
        <v>501</v>
      </c>
      <c r="E80" s="8" t="s">
        <v>502</v>
      </c>
      <c r="F80" s="8" t="s">
        <v>503</v>
      </c>
      <c r="G80" s="8" t="s">
        <v>504</v>
      </c>
      <c r="H80" s="8" t="s">
        <v>258</v>
      </c>
      <c r="I80" s="8" t="s">
        <v>505</v>
      </c>
      <c r="J80" s="8" t="s">
        <v>506</v>
      </c>
    </row>
    <row r="81" customFormat="false" ht="23.85" hidden="false" customHeight="false" outlineLevel="0" collapsed="false">
      <c r="A81" s="8" t="s">
        <v>507</v>
      </c>
      <c r="B81" s="8" t="s">
        <v>487</v>
      </c>
      <c r="C81" s="9" t="n">
        <v>4</v>
      </c>
      <c r="D81" s="11" t="s">
        <v>508</v>
      </c>
      <c r="E81" s="8" t="s">
        <v>509</v>
      </c>
      <c r="F81" s="8" t="s">
        <v>510</v>
      </c>
      <c r="G81" s="8" t="s">
        <v>511</v>
      </c>
      <c r="H81" s="8" t="s">
        <v>258</v>
      </c>
      <c r="I81" s="8" t="s">
        <v>512</v>
      </c>
      <c r="J81" s="8" t="s">
        <v>513</v>
      </c>
    </row>
    <row r="82" customFormat="false" ht="23.85" hidden="false" customHeight="false" outlineLevel="0" collapsed="false">
      <c r="A82" s="8" t="s">
        <v>514</v>
      </c>
      <c r="B82" s="8" t="s">
        <v>487</v>
      </c>
      <c r="C82" s="9" t="n">
        <v>4</v>
      </c>
      <c r="D82" s="11" t="s">
        <v>515</v>
      </c>
      <c r="E82" s="8"/>
      <c r="F82" s="8" t="s">
        <v>516</v>
      </c>
      <c r="G82" s="8" t="s">
        <v>517</v>
      </c>
      <c r="H82" s="8" t="s">
        <v>258</v>
      </c>
      <c r="I82" s="8"/>
      <c r="J82" s="8" t="s">
        <v>518</v>
      </c>
    </row>
    <row r="83" customFormat="false" ht="23.85" hidden="false" customHeight="false" outlineLevel="0" collapsed="false">
      <c r="A83" s="8" t="s">
        <v>519</v>
      </c>
      <c r="B83" s="8" t="s">
        <v>487</v>
      </c>
      <c r="C83" s="9" t="n">
        <v>4</v>
      </c>
      <c r="D83" s="11" t="s">
        <v>520</v>
      </c>
      <c r="E83" s="8"/>
      <c r="F83" s="8" t="s">
        <v>521</v>
      </c>
      <c r="G83" s="8" t="s">
        <v>522</v>
      </c>
      <c r="H83" s="8" t="s">
        <v>258</v>
      </c>
      <c r="I83" s="8" t="s">
        <v>523</v>
      </c>
      <c r="J83" s="8" t="s">
        <v>524</v>
      </c>
    </row>
    <row r="84" customFormat="false" ht="23.85" hidden="false" customHeight="false" outlineLevel="0" collapsed="false">
      <c r="A84" s="8" t="s">
        <v>525</v>
      </c>
      <c r="B84" s="8" t="s">
        <v>487</v>
      </c>
      <c r="C84" s="9" t="n">
        <v>4</v>
      </c>
      <c r="D84" s="11" t="s">
        <v>526</v>
      </c>
      <c r="E84" s="8"/>
      <c r="F84" s="8" t="s">
        <v>527</v>
      </c>
      <c r="G84" s="8" t="s">
        <v>528</v>
      </c>
      <c r="H84" s="8" t="s">
        <v>15</v>
      </c>
      <c r="I84" s="8" t="s">
        <v>529</v>
      </c>
      <c r="J84" s="8" t="s">
        <v>530</v>
      </c>
    </row>
    <row r="85" customFormat="false" ht="23.85" hidden="false" customHeight="false" outlineLevel="0" collapsed="false">
      <c r="A85" s="8" t="s">
        <v>531</v>
      </c>
      <c r="B85" s="8" t="s">
        <v>383</v>
      </c>
      <c r="C85" s="9" t="n">
        <v>3</v>
      </c>
      <c r="D85" s="10" t="s">
        <v>532</v>
      </c>
      <c r="E85" s="8" t="s">
        <v>533</v>
      </c>
      <c r="F85" s="8" t="s">
        <v>534</v>
      </c>
      <c r="G85" s="8" t="s">
        <v>535</v>
      </c>
      <c r="H85" s="8" t="s">
        <v>15</v>
      </c>
      <c r="I85" s="8" t="s">
        <v>536</v>
      </c>
      <c r="J85" s="8" t="s">
        <v>537</v>
      </c>
    </row>
    <row r="86" customFormat="false" ht="23.85" hidden="false" customHeight="false" outlineLevel="0" collapsed="false">
      <c r="A86" s="8" t="s">
        <v>538</v>
      </c>
      <c r="B86" s="8" t="s">
        <v>383</v>
      </c>
      <c r="C86" s="9" t="n">
        <v>3</v>
      </c>
      <c r="D86" s="10" t="s">
        <v>539</v>
      </c>
      <c r="E86" s="8" t="s">
        <v>540</v>
      </c>
      <c r="F86" s="8" t="s">
        <v>541</v>
      </c>
      <c r="G86" s="8" t="s">
        <v>542</v>
      </c>
      <c r="H86" s="8" t="s">
        <v>15</v>
      </c>
      <c r="I86" s="8" t="s">
        <v>543</v>
      </c>
      <c r="J86" s="8" t="s">
        <v>544</v>
      </c>
    </row>
    <row r="87" customFormat="false" ht="23.85" hidden="false" customHeight="false" outlineLevel="0" collapsed="false">
      <c r="A87" s="5" t="s">
        <v>545</v>
      </c>
      <c r="B87" s="5" t="s">
        <v>377</v>
      </c>
      <c r="C87" s="6" t="n">
        <v>2</v>
      </c>
      <c r="D87" s="7" t="s">
        <v>546</v>
      </c>
      <c r="E87" s="5" t="s">
        <v>547</v>
      </c>
      <c r="F87" s="5" t="s">
        <v>548</v>
      </c>
      <c r="G87" s="5" t="s">
        <v>549</v>
      </c>
      <c r="H87" s="5" t="s">
        <v>15</v>
      </c>
      <c r="I87" s="5" t="s">
        <v>550</v>
      </c>
      <c r="J87" s="5" t="s">
        <v>551</v>
      </c>
    </row>
    <row r="88" customFormat="false" ht="23.85" hidden="false" customHeight="false" outlineLevel="0" collapsed="false">
      <c r="A88" s="8" t="s">
        <v>552</v>
      </c>
      <c r="B88" s="8" t="s">
        <v>545</v>
      </c>
      <c r="C88" s="9" t="n">
        <v>3</v>
      </c>
      <c r="D88" s="10" t="s">
        <v>553</v>
      </c>
      <c r="E88" s="8" t="s">
        <v>554</v>
      </c>
      <c r="F88" s="8" t="s">
        <v>555</v>
      </c>
      <c r="G88" s="8" t="s">
        <v>556</v>
      </c>
      <c r="H88" s="8" t="s">
        <v>15</v>
      </c>
      <c r="I88" s="8" t="s">
        <v>557</v>
      </c>
      <c r="J88" s="8" t="s">
        <v>558</v>
      </c>
    </row>
    <row r="89" customFormat="false" ht="15" hidden="false" customHeight="false" outlineLevel="0" collapsed="false">
      <c r="A89" s="8" t="s">
        <v>559</v>
      </c>
      <c r="B89" s="8" t="s">
        <v>552</v>
      </c>
      <c r="C89" s="9" t="n">
        <v>4</v>
      </c>
      <c r="D89" s="11" t="s">
        <v>560</v>
      </c>
      <c r="E89" s="8"/>
      <c r="F89" s="8" t="s">
        <v>561</v>
      </c>
      <c r="G89" s="8" t="s">
        <v>562</v>
      </c>
      <c r="H89" s="8" t="s">
        <v>15</v>
      </c>
      <c r="I89" s="8"/>
      <c r="J89" s="8" t="s">
        <v>563</v>
      </c>
    </row>
    <row r="90" customFormat="false" ht="15" hidden="false" customHeight="false" outlineLevel="0" collapsed="false">
      <c r="A90" s="8" t="s">
        <v>564</v>
      </c>
      <c r="B90" s="8" t="s">
        <v>552</v>
      </c>
      <c r="C90" s="9" t="n">
        <v>4</v>
      </c>
      <c r="D90" s="11" t="s">
        <v>565</v>
      </c>
      <c r="E90" s="8"/>
      <c r="F90" s="8" t="s">
        <v>566</v>
      </c>
      <c r="G90" s="8" t="s">
        <v>567</v>
      </c>
      <c r="H90" s="8" t="s">
        <v>15</v>
      </c>
      <c r="I90" s="8"/>
      <c r="J90" s="8" t="s">
        <v>568</v>
      </c>
    </row>
    <row r="91" customFormat="false" ht="23.85" hidden="false" customHeight="false" outlineLevel="0" collapsed="false">
      <c r="A91" s="8" t="s">
        <v>569</v>
      </c>
      <c r="B91" s="8" t="s">
        <v>552</v>
      </c>
      <c r="C91" s="9" t="n">
        <v>4</v>
      </c>
      <c r="D91" s="11" t="s">
        <v>570</v>
      </c>
      <c r="E91" s="8"/>
      <c r="F91" s="8" t="s">
        <v>571</v>
      </c>
      <c r="G91" s="8" t="s">
        <v>572</v>
      </c>
      <c r="H91" s="8" t="s">
        <v>15</v>
      </c>
      <c r="I91" s="8"/>
      <c r="J91" s="8" t="s">
        <v>573</v>
      </c>
    </row>
    <row r="92" customFormat="false" ht="23.85" hidden="false" customHeight="false" outlineLevel="0" collapsed="false">
      <c r="A92" s="8" t="s">
        <v>574</v>
      </c>
      <c r="B92" s="8" t="s">
        <v>569</v>
      </c>
      <c r="C92" s="9" t="n">
        <v>5</v>
      </c>
      <c r="D92" s="12" t="s">
        <v>575</v>
      </c>
      <c r="E92" s="8"/>
      <c r="F92" s="8" t="s">
        <v>576</v>
      </c>
      <c r="G92" s="8" t="s">
        <v>577</v>
      </c>
      <c r="H92" s="8" t="s">
        <v>15</v>
      </c>
      <c r="I92" s="8" t="s">
        <v>578</v>
      </c>
      <c r="J92" s="8" t="s">
        <v>579</v>
      </c>
    </row>
    <row r="93" customFormat="false" ht="23.85" hidden="false" customHeight="false" outlineLevel="0" collapsed="false">
      <c r="A93" s="8" t="s">
        <v>580</v>
      </c>
      <c r="B93" s="8" t="s">
        <v>569</v>
      </c>
      <c r="C93" s="9" t="n">
        <v>5</v>
      </c>
      <c r="D93" s="12" t="s">
        <v>581</v>
      </c>
      <c r="E93" s="8"/>
      <c r="F93" s="8" t="s">
        <v>582</v>
      </c>
      <c r="G93" s="8" t="s">
        <v>583</v>
      </c>
      <c r="H93" s="8" t="s">
        <v>15</v>
      </c>
      <c r="I93" s="8"/>
      <c r="J93" s="8" t="s">
        <v>584</v>
      </c>
    </row>
    <row r="94" customFormat="false" ht="23.85" hidden="false" customHeight="false" outlineLevel="0" collapsed="false">
      <c r="A94" s="8" t="s">
        <v>585</v>
      </c>
      <c r="B94" s="8" t="s">
        <v>569</v>
      </c>
      <c r="C94" s="9" t="n">
        <v>5</v>
      </c>
      <c r="D94" s="12" t="s">
        <v>586</v>
      </c>
      <c r="E94" s="8"/>
      <c r="F94" s="8" t="s">
        <v>587</v>
      </c>
      <c r="G94" s="8" t="s">
        <v>588</v>
      </c>
      <c r="H94" s="8" t="s">
        <v>15</v>
      </c>
      <c r="I94" s="8"/>
      <c r="J94" s="8" t="s">
        <v>589</v>
      </c>
    </row>
    <row r="95" customFormat="false" ht="23.85" hidden="false" customHeight="false" outlineLevel="0" collapsed="false">
      <c r="A95" s="8" t="s">
        <v>590</v>
      </c>
      <c r="B95" s="8" t="s">
        <v>552</v>
      </c>
      <c r="C95" s="9" t="n">
        <v>4</v>
      </c>
      <c r="D95" s="11" t="s">
        <v>591</v>
      </c>
      <c r="E95" s="8"/>
      <c r="F95" s="8" t="s">
        <v>592</v>
      </c>
      <c r="G95" s="8" t="s">
        <v>593</v>
      </c>
      <c r="H95" s="8" t="s">
        <v>15</v>
      </c>
      <c r="I95" s="8"/>
      <c r="J95" s="8" t="s">
        <v>594</v>
      </c>
    </row>
    <row r="96" customFormat="false" ht="23.85" hidden="false" customHeight="false" outlineLevel="0" collapsed="false">
      <c r="A96" s="8" t="s">
        <v>595</v>
      </c>
      <c r="B96" s="8" t="s">
        <v>552</v>
      </c>
      <c r="C96" s="9" t="n">
        <v>4</v>
      </c>
      <c r="D96" s="11" t="s">
        <v>596</v>
      </c>
      <c r="E96" s="8"/>
      <c r="F96" s="8" t="s">
        <v>597</v>
      </c>
      <c r="G96" s="8" t="s">
        <v>598</v>
      </c>
      <c r="H96" s="8" t="s">
        <v>15</v>
      </c>
      <c r="I96" s="8" t="s">
        <v>599</v>
      </c>
      <c r="J96" s="8" t="s">
        <v>600</v>
      </c>
    </row>
    <row r="97" customFormat="false" ht="23.85" hidden="false" customHeight="false" outlineLevel="0" collapsed="false">
      <c r="A97" s="8" t="s">
        <v>601</v>
      </c>
      <c r="B97" s="8" t="s">
        <v>545</v>
      </c>
      <c r="C97" s="9" t="n">
        <v>3</v>
      </c>
      <c r="D97" s="10" t="s">
        <v>602</v>
      </c>
      <c r="E97" s="8" t="s">
        <v>603</v>
      </c>
      <c r="F97" s="8" t="s">
        <v>604</v>
      </c>
      <c r="G97" s="8" t="s">
        <v>605</v>
      </c>
      <c r="H97" s="8" t="s">
        <v>15</v>
      </c>
      <c r="I97" s="8" t="s">
        <v>606</v>
      </c>
      <c r="J97" s="8" t="s">
        <v>607</v>
      </c>
    </row>
    <row r="98" customFormat="false" ht="23.85" hidden="false" customHeight="false" outlineLevel="0" collapsed="false">
      <c r="A98" s="8" t="s">
        <v>608</v>
      </c>
      <c r="B98" s="8" t="s">
        <v>545</v>
      </c>
      <c r="C98" s="9" t="n">
        <v>3</v>
      </c>
      <c r="D98" s="10" t="s">
        <v>609</v>
      </c>
      <c r="E98" s="8" t="s">
        <v>610</v>
      </c>
      <c r="F98" s="8" t="s">
        <v>611</v>
      </c>
      <c r="G98" s="8" t="s">
        <v>612</v>
      </c>
      <c r="H98" s="8" t="s">
        <v>15</v>
      </c>
      <c r="I98" s="8" t="s">
        <v>613</v>
      </c>
      <c r="J98" s="8" t="s">
        <v>614</v>
      </c>
    </row>
    <row r="99" customFormat="false" ht="15" hidden="false" customHeight="false" outlineLevel="0" collapsed="false">
      <c r="A99" s="8" t="s">
        <v>615</v>
      </c>
      <c r="B99" s="8" t="s">
        <v>608</v>
      </c>
      <c r="C99" s="9" t="n">
        <v>4</v>
      </c>
      <c r="D99" s="11" t="s">
        <v>616</v>
      </c>
      <c r="E99" s="8"/>
      <c r="F99" s="8" t="s">
        <v>617</v>
      </c>
      <c r="G99" s="8" t="s">
        <v>618</v>
      </c>
      <c r="H99" s="8" t="s">
        <v>15</v>
      </c>
      <c r="I99" s="8"/>
      <c r="J99" s="8" t="s">
        <v>619</v>
      </c>
    </row>
    <row r="100" customFormat="false" ht="15" hidden="false" customHeight="false" outlineLevel="0" collapsed="false">
      <c r="A100" s="8" t="s">
        <v>620</v>
      </c>
      <c r="B100" s="8" t="s">
        <v>608</v>
      </c>
      <c r="C100" s="9" t="n">
        <v>4</v>
      </c>
      <c r="D100" s="11" t="s">
        <v>621</v>
      </c>
      <c r="E100" s="8"/>
      <c r="F100" s="8" t="s">
        <v>622</v>
      </c>
      <c r="G100" s="8" t="s">
        <v>623</v>
      </c>
      <c r="H100" s="8" t="s">
        <v>15</v>
      </c>
      <c r="I100" s="8"/>
      <c r="J100" s="8" t="s">
        <v>624</v>
      </c>
    </row>
    <row r="101" customFormat="false" ht="23.85" hidden="false" customHeight="false" outlineLevel="0" collapsed="false">
      <c r="A101" s="8" t="s">
        <v>625</v>
      </c>
      <c r="B101" s="8" t="s">
        <v>608</v>
      </c>
      <c r="C101" s="9" t="n">
        <v>4</v>
      </c>
      <c r="D101" s="11" t="s">
        <v>626</v>
      </c>
      <c r="E101" s="8"/>
      <c r="F101" s="8" t="s">
        <v>627</v>
      </c>
      <c r="G101" s="8" t="s">
        <v>628</v>
      </c>
      <c r="H101" s="8" t="s">
        <v>15</v>
      </c>
      <c r="I101" s="8" t="s">
        <v>629</v>
      </c>
      <c r="J101" s="8" t="s">
        <v>630</v>
      </c>
    </row>
    <row r="102" customFormat="false" ht="15" hidden="false" customHeight="false" outlineLevel="0" collapsed="false">
      <c r="A102" s="8" t="s">
        <v>631</v>
      </c>
      <c r="B102" s="8" t="s">
        <v>608</v>
      </c>
      <c r="C102" s="9" t="n">
        <v>4</v>
      </c>
      <c r="D102" s="11" t="s">
        <v>632</v>
      </c>
      <c r="E102" s="8" t="s">
        <v>633</v>
      </c>
      <c r="F102" s="8" t="s">
        <v>634</v>
      </c>
      <c r="G102" s="8" t="s">
        <v>635</v>
      </c>
      <c r="H102" s="8" t="s">
        <v>15</v>
      </c>
      <c r="I102" s="8"/>
      <c r="J102" s="8" t="s">
        <v>636</v>
      </c>
    </row>
    <row r="103" customFormat="false" ht="23.85" hidden="false" customHeight="false" outlineLevel="0" collapsed="false">
      <c r="A103" s="5" t="s">
        <v>637</v>
      </c>
      <c r="B103" s="5" t="s">
        <v>377</v>
      </c>
      <c r="C103" s="6" t="n">
        <v>2</v>
      </c>
      <c r="D103" s="7" t="s">
        <v>638</v>
      </c>
      <c r="E103" s="5" t="s">
        <v>639</v>
      </c>
      <c r="F103" s="5" t="s">
        <v>640</v>
      </c>
      <c r="G103" s="5" t="s">
        <v>641</v>
      </c>
      <c r="H103" s="5" t="s">
        <v>15</v>
      </c>
      <c r="I103" s="5" t="s">
        <v>642</v>
      </c>
      <c r="J103" s="5" t="s">
        <v>643</v>
      </c>
    </row>
    <row r="104" customFormat="false" ht="23.85" hidden="false" customHeight="false" outlineLevel="0" collapsed="false">
      <c r="A104" s="8" t="s">
        <v>644</v>
      </c>
      <c r="B104" s="8" t="s">
        <v>637</v>
      </c>
      <c r="C104" s="9" t="n">
        <v>3</v>
      </c>
      <c r="D104" s="10" t="s">
        <v>645</v>
      </c>
      <c r="E104" s="8" t="s">
        <v>646</v>
      </c>
      <c r="F104" s="8" t="s">
        <v>647</v>
      </c>
      <c r="G104" s="8" t="s">
        <v>648</v>
      </c>
      <c r="H104" s="8" t="s">
        <v>15</v>
      </c>
      <c r="I104" s="8"/>
      <c r="J104" s="8" t="s">
        <v>649</v>
      </c>
    </row>
    <row r="105" customFormat="false" ht="15" hidden="false" customHeight="false" outlineLevel="0" collapsed="false">
      <c r="A105" s="8" t="s">
        <v>650</v>
      </c>
      <c r="B105" s="8" t="s">
        <v>637</v>
      </c>
      <c r="C105" s="9" t="n">
        <v>3</v>
      </c>
      <c r="D105" s="10" t="s">
        <v>651</v>
      </c>
      <c r="E105" s="8"/>
      <c r="F105" s="8" t="s">
        <v>652</v>
      </c>
      <c r="G105" s="8" t="s">
        <v>653</v>
      </c>
      <c r="H105" s="8" t="s">
        <v>15</v>
      </c>
      <c r="I105" s="8" t="s">
        <v>654</v>
      </c>
      <c r="J105" s="8" t="s">
        <v>655</v>
      </c>
    </row>
    <row r="106" customFormat="false" ht="15" hidden="false" customHeight="false" outlineLevel="0" collapsed="false">
      <c r="A106" s="8" t="s">
        <v>656</v>
      </c>
      <c r="B106" s="8" t="s">
        <v>637</v>
      </c>
      <c r="C106" s="9" t="n">
        <v>3</v>
      </c>
      <c r="D106" s="10" t="s">
        <v>657</v>
      </c>
      <c r="E106" s="8" t="s">
        <v>658</v>
      </c>
      <c r="F106" s="8" t="s">
        <v>659</v>
      </c>
      <c r="G106" s="8" t="s">
        <v>660</v>
      </c>
      <c r="H106" s="8" t="s">
        <v>15</v>
      </c>
      <c r="I106" s="8"/>
      <c r="J106" s="8" t="s">
        <v>661</v>
      </c>
    </row>
    <row r="107" customFormat="false" ht="15" hidden="false" customHeight="false" outlineLevel="0" collapsed="false">
      <c r="A107" s="8" t="s">
        <v>662</v>
      </c>
      <c r="B107" s="8" t="s">
        <v>637</v>
      </c>
      <c r="C107" s="9" t="n">
        <v>3</v>
      </c>
      <c r="D107" s="10" t="s">
        <v>663</v>
      </c>
      <c r="E107" s="8"/>
      <c r="F107" s="8" t="s">
        <v>664</v>
      </c>
      <c r="G107" s="8" t="s">
        <v>665</v>
      </c>
      <c r="H107" s="8" t="s">
        <v>15</v>
      </c>
      <c r="I107" s="8"/>
      <c r="J107" s="8" t="s">
        <v>666</v>
      </c>
    </row>
    <row r="108" customFormat="false" ht="23.85" hidden="false" customHeight="false" outlineLevel="0" collapsed="false">
      <c r="A108" s="8" t="s">
        <v>667</v>
      </c>
      <c r="B108" s="8" t="s">
        <v>637</v>
      </c>
      <c r="C108" s="9" t="n">
        <v>3</v>
      </c>
      <c r="D108" s="10" t="s">
        <v>668</v>
      </c>
      <c r="E108" s="8"/>
      <c r="F108" s="8" t="s">
        <v>669</v>
      </c>
      <c r="G108" s="8" t="s">
        <v>670</v>
      </c>
      <c r="H108" s="8" t="s">
        <v>280</v>
      </c>
      <c r="I108" s="8" t="s">
        <v>671</v>
      </c>
      <c r="J108" s="8" t="s">
        <v>672</v>
      </c>
    </row>
    <row r="109" customFormat="false" ht="15" hidden="false" customHeight="false" outlineLevel="0" collapsed="false">
      <c r="A109" s="8" t="s">
        <v>673</v>
      </c>
      <c r="B109" s="8" t="s">
        <v>667</v>
      </c>
      <c r="C109" s="9" t="n">
        <v>4</v>
      </c>
      <c r="D109" s="11" t="s">
        <v>674</v>
      </c>
      <c r="E109" s="8"/>
      <c r="F109" s="8" t="s">
        <v>675</v>
      </c>
      <c r="G109" s="8" t="s">
        <v>676</v>
      </c>
      <c r="H109" s="8" t="s">
        <v>280</v>
      </c>
      <c r="I109" s="8"/>
      <c r="J109" s="8" t="s">
        <v>677</v>
      </c>
    </row>
    <row r="110" customFormat="false" ht="15" hidden="false" customHeight="false" outlineLevel="0" collapsed="false">
      <c r="A110" s="8" t="s">
        <v>678</v>
      </c>
      <c r="B110" s="8" t="s">
        <v>667</v>
      </c>
      <c r="C110" s="9" t="n">
        <v>4</v>
      </c>
      <c r="D110" s="11" t="s">
        <v>679</v>
      </c>
      <c r="E110" s="8" t="s">
        <v>680</v>
      </c>
      <c r="F110" s="8" t="s">
        <v>681</v>
      </c>
      <c r="G110" s="8" t="s">
        <v>682</v>
      </c>
      <c r="H110" s="8" t="s">
        <v>280</v>
      </c>
      <c r="I110" s="8"/>
      <c r="J110" s="8" t="s">
        <v>683</v>
      </c>
    </row>
    <row r="111" customFormat="false" ht="15" hidden="false" customHeight="false" outlineLevel="0" collapsed="false">
      <c r="A111" s="8" t="s">
        <v>684</v>
      </c>
      <c r="B111" s="8" t="s">
        <v>637</v>
      </c>
      <c r="C111" s="9" t="n">
        <v>3</v>
      </c>
      <c r="D111" s="10" t="s">
        <v>685</v>
      </c>
      <c r="E111" s="8"/>
      <c r="F111" s="8" t="s">
        <v>686</v>
      </c>
      <c r="G111" s="8" t="s">
        <v>687</v>
      </c>
      <c r="H111" s="8" t="s">
        <v>280</v>
      </c>
      <c r="I111" s="8" t="s">
        <v>688</v>
      </c>
      <c r="J111" s="8" t="s">
        <v>689</v>
      </c>
    </row>
    <row r="112" customFormat="false" ht="15" hidden="false" customHeight="false" outlineLevel="0" collapsed="false">
      <c r="A112" s="5" t="s">
        <v>690</v>
      </c>
      <c r="B112" s="5" t="s">
        <v>377</v>
      </c>
      <c r="C112" s="6" t="n">
        <v>2</v>
      </c>
      <c r="D112" s="7" t="s">
        <v>691</v>
      </c>
      <c r="E112" s="5" t="s">
        <v>692</v>
      </c>
      <c r="F112" s="5" t="s">
        <v>693</v>
      </c>
      <c r="G112" s="5" t="s">
        <v>694</v>
      </c>
      <c r="H112" s="5" t="s">
        <v>280</v>
      </c>
      <c r="I112" s="5"/>
      <c r="J112" s="5" t="s">
        <v>695</v>
      </c>
    </row>
    <row r="113" customFormat="false" ht="23.85" hidden="false" customHeight="false" outlineLevel="0" collapsed="false">
      <c r="A113" s="8" t="s">
        <v>696</v>
      </c>
      <c r="B113" s="8" t="s">
        <v>690</v>
      </c>
      <c r="C113" s="9" t="n">
        <v>3</v>
      </c>
      <c r="D113" s="10" t="s">
        <v>697</v>
      </c>
      <c r="E113" s="8"/>
      <c r="F113" s="8" t="s">
        <v>698</v>
      </c>
      <c r="G113" s="8" t="s">
        <v>699</v>
      </c>
      <c r="H113" s="8" t="s">
        <v>280</v>
      </c>
      <c r="I113" s="8" t="s">
        <v>700</v>
      </c>
      <c r="J113" s="8" t="s">
        <v>701</v>
      </c>
    </row>
    <row r="114" customFormat="false" ht="23.85" hidden="false" customHeight="false" outlineLevel="0" collapsed="false">
      <c r="A114" s="8" t="s">
        <v>702</v>
      </c>
      <c r="B114" s="8" t="s">
        <v>690</v>
      </c>
      <c r="C114" s="9" t="n">
        <v>3</v>
      </c>
      <c r="D114" s="10" t="s">
        <v>703</v>
      </c>
      <c r="E114" s="8"/>
      <c r="F114" s="8" t="s">
        <v>704</v>
      </c>
      <c r="G114" s="8" t="s">
        <v>705</v>
      </c>
      <c r="H114" s="8" t="s">
        <v>280</v>
      </c>
      <c r="I114" s="8" t="s">
        <v>706</v>
      </c>
      <c r="J114" s="8" t="s">
        <v>707</v>
      </c>
    </row>
    <row r="115" customFormat="false" ht="15" hidden="false" customHeight="false" outlineLevel="0" collapsed="false">
      <c r="A115" s="8" t="s">
        <v>708</v>
      </c>
      <c r="B115" s="8" t="s">
        <v>702</v>
      </c>
      <c r="C115" s="9" t="n">
        <v>4</v>
      </c>
      <c r="D115" s="11" t="s">
        <v>709</v>
      </c>
      <c r="E115" s="8" t="s">
        <v>710</v>
      </c>
      <c r="F115" s="8" t="s">
        <v>711</v>
      </c>
      <c r="G115" s="8" t="s">
        <v>712</v>
      </c>
      <c r="H115" s="8" t="s">
        <v>280</v>
      </c>
      <c r="I115" s="8" t="s">
        <v>713</v>
      </c>
      <c r="J115" s="8" t="s">
        <v>714</v>
      </c>
    </row>
    <row r="116" customFormat="false" ht="23.85" hidden="false" customHeight="false" outlineLevel="0" collapsed="false">
      <c r="A116" s="8" t="s">
        <v>715</v>
      </c>
      <c r="B116" s="8" t="s">
        <v>702</v>
      </c>
      <c r="C116" s="9" t="n">
        <v>4</v>
      </c>
      <c r="D116" s="11" t="s">
        <v>716</v>
      </c>
      <c r="E116" s="8" t="s">
        <v>717</v>
      </c>
      <c r="F116" s="8" t="s">
        <v>718</v>
      </c>
      <c r="G116" s="8" t="s">
        <v>719</v>
      </c>
      <c r="H116" s="8" t="s">
        <v>280</v>
      </c>
      <c r="I116" s="8" t="s">
        <v>720</v>
      </c>
      <c r="J116" s="8" t="s">
        <v>721</v>
      </c>
    </row>
    <row r="117" customFormat="false" ht="23.85" hidden="false" customHeight="false" outlineLevel="0" collapsed="false">
      <c r="A117" s="8" t="s">
        <v>722</v>
      </c>
      <c r="B117" s="8" t="s">
        <v>690</v>
      </c>
      <c r="C117" s="9" t="n">
        <v>3</v>
      </c>
      <c r="D117" s="10" t="s">
        <v>723</v>
      </c>
      <c r="E117" s="8" t="s">
        <v>724</v>
      </c>
      <c r="F117" s="8" t="s">
        <v>725</v>
      </c>
      <c r="G117" s="8" t="s">
        <v>726</v>
      </c>
      <c r="H117" s="8" t="s">
        <v>15</v>
      </c>
      <c r="I117" s="8"/>
      <c r="J117" s="8" t="s">
        <v>727</v>
      </c>
    </row>
    <row r="118" customFormat="false" ht="15" hidden="false" customHeight="false" outlineLevel="0" collapsed="false">
      <c r="A118" s="8" t="s">
        <v>728</v>
      </c>
      <c r="B118" s="8" t="s">
        <v>690</v>
      </c>
      <c r="C118" s="9" t="n">
        <v>3</v>
      </c>
      <c r="D118" s="10" t="s">
        <v>729</v>
      </c>
      <c r="E118" s="8"/>
      <c r="F118" s="8" t="s">
        <v>730</v>
      </c>
      <c r="G118" s="8" t="s">
        <v>731</v>
      </c>
      <c r="H118" s="8" t="s">
        <v>258</v>
      </c>
      <c r="I118" s="8"/>
      <c r="J118" s="8" t="s">
        <v>732</v>
      </c>
    </row>
    <row r="119" customFormat="false" ht="15" hidden="false" customHeight="false" outlineLevel="0" collapsed="false">
      <c r="A119" s="8" t="s">
        <v>733</v>
      </c>
      <c r="B119" s="8" t="s">
        <v>690</v>
      </c>
      <c r="C119" s="9" t="n">
        <v>3</v>
      </c>
      <c r="D119" s="10" t="s">
        <v>734</v>
      </c>
      <c r="E119" s="8"/>
      <c r="F119" s="8" t="s">
        <v>735</v>
      </c>
      <c r="G119" s="8" t="s">
        <v>736</v>
      </c>
      <c r="H119" s="8" t="s">
        <v>258</v>
      </c>
      <c r="I119" s="8"/>
      <c r="J119" s="8" t="s">
        <v>737</v>
      </c>
    </row>
    <row r="120" customFormat="false" ht="15" hidden="false" customHeight="false" outlineLevel="0" collapsed="false">
      <c r="A120" s="8" t="s">
        <v>738</v>
      </c>
      <c r="B120" s="8" t="s">
        <v>690</v>
      </c>
      <c r="C120" s="9" t="n">
        <v>3</v>
      </c>
      <c r="D120" s="10" t="s">
        <v>739</v>
      </c>
      <c r="E120" s="8"/>
      <c r="F120" s="8" t="s">
        <v>740</v>
      </c>
      <c r="G120" s="8" t="s">
        <v>741</v>
      </c>
      <c r="H120" s="8" t="s">
        <v>280</v>
      </c>
      <c r="I120" s="8" t="s">
        <v>742</v>
      </c>
      <c r="J120" s="8" t="s">
        <v>743</v>
      </c>
    </row>
    <row r="121" customFormat="false" ht="23.85" hidden="false" customHeight="false" outlineLevel="0" collapsed="false">
      <c r="A121" s="5" t="s">
        <v>744</v>
      </c>
      <c r="B121" s="5" t="s">
        <v>377</v>
      </c>
      <c r="C121" s="6" t="n">
        <v>2</v>
      </c>
      <c r="D121" s="7" t="s">
        <v>745</v>
      </c>
      <c r="E121" s="5" t="s">
        <v>746</v>
      </c>
      <c r="F121" s="5" t="s">
        <v>747</v>
      </c>
      <c r="G121" s="5" t="s">
        <v>748</v>
      </c>
      <c r="H121" s="5" t="s">
        <v>15</v>
      </c>
      <c r="I121" s="5" t="s">
        <v>749</v>
      </c>
      <c r="J121" s="5" t="s">
        <v>750</v>
      </c>
    </row>
    <row r="122" customFormat="false" ht="15" hidden="false" customHeight="false" outlineLevel="0" collapsed="false">
      <c r="A122" s="8" t="s">
        <v>751</v>
      </c>
      <c r="B122" s="8" t="s">
        <v>744</v>
      </c>
      <c r="C122" s="9" t="n">
        <v>3</v>
      </c>
      <c r="D122" s="10" t="s">
        <v>752</v>
      </c>
      <c r="E122" s="8"/>
      <c r="F122" s="8" t="s">
        <v>753</v>
      </c>
      <c r="G122" s="8" t="s">
        <v>754</v>
      </c>
      <c r="H122" s="8" t="s">
        <v>15</v>
      </c>
      <c r="I122" s="8" t="s">
        <v>755</v>
      </c>
      <c r="J122" s="8" t="s">
        <v>756</v>
      </c>
    </row>
    <row r="123" customFormat="false" ht="23.85" hidden="false" customHeight="false" outlineLevel="0" collapsed="false">
      <c r="A123" s="8" t="s">
        <v>757</v>
      </c>
      <c r="B123" s="8" t="s">
        <v>744</v>
      </c>
      <c r="C123" s="9" t="n">
        <v>3</v>
      </c>
      <c r="D123" s="10" t="s">
        <v>758</v>
      </c>
      <c r="E123" s="8" t="s">
        <v>759</v>
      </c>
      <c r="F123" s="8" t="s">
        <v>760</v>
      </c>
      <c r="G123" s="8" t="s">
        <v>761</v>
      </c>
      <c r="H123" s="8" t="s">
        <v>15</v>
      </c>
      <c r="I123" s="8"/>
      <c r="J123" s="8" t="s">
        <v>762</v>
      </c>
    </row>
    <row r="124" customFormat="false" ht="23.85" hidden="false" customHeight="false" outlineLevel="0" collapsed="false">
      <c r="A124" s="8" t="s">
        <v>763</v>
      </c>
      <c r="B124" s="8" t="s">
        <v>744</v>
      </c>
      <c r="C124" s="9" t="n">
        <v>3</v>
      </c>
      <c r="D124" s="10" t="s">
        <v>764</v>
      </c>
      <c r="E124" s="8" t="s">
        <v>765</v>
      </c>
      <c r="F124" s="8" t="s">
        <v>766</v>
      </c>
      <c r="G124" s="8" t="s">
        <v>767</v>
      </c>
      <c r="H124" s="8" t="s">
        <v>15</v>
      </c>
      <c r="I124" s="8" t="s">
        <v>768</v>
      </c>
      <c r="J124" s="8" t="s">
        <v>769</v>
      </c>
    </row>
    <row r="125" customFormat="false" ht="23.85" hidden="false" customHeight="false" outlineLevel="0" collapsed="false">
      <c r="A125" s="5" t="s">
        <v>770</v>
      </c>
      <c r="B125" s="5" t="s">
        <v>377</v>
      </c>
      <c r="C125" s="6" t="n">
        <v>2</v>
      </c>
      <c r="D125" s="7" t="s">
        <v>771</v>
      </c>
      <c r="E125" s="5" t="s">
        <v>772</v>
      </c>
      <c r="F125" s="5" t="s">
        <v>773</v>
      </c>
      <c r="G125" s="5" t="s">
        <v>774</v>
      </c>
      <c r="H125" s="5" t="s">
        <v>15</v>
      </c>
      <c r="I125" s="5"/>
      <c r="J125" s="5" t="s">
        <v>775</v>
      </c>
    </row>
    <row r="126" customFormat="false" ht="23.85" hidden="false" customHeight="false" outlineLevel="0" collapsed="false">
      <c r="A126" s="8" t="s">
        <v>776</v>
      </c>
      <c r="B126" s="8" t="s">
        <v>770</v>
      </c>
      <c r="C126" s="9" t="n">
        <v>3</v>
      </c>
      <c r="D126" s="10" t="s">
        <v>777</v>
      </c>
      <c r="E126" s="8"/>
      <c r="F126" s="8" t="s">
        <v>778</v>
      </c>
      <c r="G126" s="8" t="s">
        <v>779</v>
      </c>
      <c r="H126" s="8" t="s">
        <v>15</v>
      </c>
      <c r="I126" s="8" t="s">
        <v>780</v>
      </c>
      <c r="J126" s="8" t="s">
        <v>781</v>
      </c>
    </row>
    <row r="127" customFormat="false" ht="23.85" hidden="false" customHeight="false" outlineLevel="0" collapsed="false">
      <c r="A127" s="8" t="s">
        <v>782</v>
      </c>
      <c r="B127" s="8" t="s">
        <v>770</v>
      </c>
      <c r="C127" s="9" t="n">
        <v>3</v>
      </c>
      <c r="D127" s="10" t="s">
        <v>783</v>
      </c>
      <c r="E127" s="8" t="s">
        <v>784</v>
      </c>
      <c r="F127" s="8" t="s">
        <v>785</v>
      </c>
      <c r="G127" s="8" t="s">
        <v>786</v>
      </c>
      <c r="H127" s="8" t="s">
        <v>15</v>
      </c>
      <c r="I127" s="8" t="s">
        <v>787</v>
      </c>
      <c r="J127" s="8" t="s">
        <v>788</v>
      </c>
    </row>
    <row r="128" customFormat="false" ht="15" hidden="false" customHeight="false" outlineLevel="0" collapsed="false">
      <c r="A128" s="8" t="s">
        <v>789</v>
      </c>
      <c r="B128" s="8" t="s">
        <v>770</v>
      </c>
      <c r="C128" s="9" t="n">
        <v>3</v>
      </c>
      <c r="D128" s="10" t="s">
        <v>790</v>
      </c>
      <c r="E128" s="8"/>
      <c r="F128" s="8" t="s">
        <v>791</v>
      </c>
      <c r="G128" s="8" t="s">
        <v>792</v>
      </c>
      <c r="H128" s="8" t="s">
        <v>258</v>
      </c>
      <c r="I128" s="8"/>
      <c r="J128" s="8" t="s">
        <v>793</v>
      </c>
    </row>
    <row r="129" customFormat="false" ht="23.85" hidden="false" customHeight="false" outlineLevel="0" collapsed="false">
      <c r="A129" s="2" t="s">
        <v>794</v>
      </c>
      <c r="B129" s="2"/>
      <c r="C129" s="3" t="n">
        <v>1</v>
      </c>
      <c r="D129" s="4" t="s">
        <v>795</v>
      </c>
      <c r="E129" s="2" t="s">
        <v>796</v>
      </c>
      <c r="F129" s="2" t="s">
        <v>797</v>
      </c>
      <c r="G129" s="2" t="s">
        <v>798</v>
      </c>
      <c r="H129" s="2" t="s">
        <v>15</v>
      </c>
      <c r="I129" s="2" t="s">
        <v>799</v>
      </c>
      <c r="J129" s="2" t="s">
        <v>795</v>
      </c>
    </row>
    <row r="130" customFormat="false" ht="35.05" hidden="false" customHeight="false" outlineLevel="0" collapsed="false">
      <c r="A130" s="5" t="s">
        <v>800</v>
      </c>
      <c r="B130" s="5" t="s">
        <v>794</v>
      </c>
      <c r="C130" s="6" t="n">
        <v>2</v>
      </c>
      <c r="D130" s="7" t="s">
        <v>801</v>
      </c>
      <c r="E130" s="5" t="s">
        <v>802</v>
      </c>
      <c r="F130" s="5" t="s">
        <v>803</v>
      </c>
      <c r="G130" s="5" t="s">
        <v>804</v>
      </c>
      <c r="H130" s="5" t="s">
        <v>15</v>
      </c>
      <c r="I130" s="5" t="s">
        <v>805</v>
      </c>
      <c r="J130" s="5" t="s">
        <v>806</v>
      </c>
    </row>
    <row r="131" customFormat="false" ht="23.85" hidden="false" customHeight="false" outlineLevel="0" collapsed="false">
      <c r="A131" s="8" t="s">
        <v>807</v>
      </c>
      <c r="B131" s="8" t="s">
        <v>800</v>
      </c>
      <c r="C131" s="9" t="n">
        <v>3</v>
      </c>
      <c r="D131" s="10" t="s">
        <v>808</v>
      </c>
      <c r="E131" s="8"/>
      <c r="F131" s="8" t="s">
        <v>809</v>
      </c>
      <c r="G131" s="8" t="s">
        <v>810</v>
      </c>
      <c r="H131" s="8" t="s">
        <v>15</v>
      </c>
      <c r="I131" s="8" t="s">
        <v>811</v>
      </c>
      <c r="J131" s="8" t="s">
        <v>812</v>
      </c>
    </row>
    <row r="132" customFormat="false" ht="23.85" hidden="false" customHeight="false" outlineLevel="0" collapsed="false">
      <c r="A132" s="8" t="s">
        <v>813</v>
      </c>
      <c r="B132" s="8" t="s">
        <v>800</v>
      </c>
      <c r="C132" s="9" t="n">
        <v>3</v>
      </c>
      <c r="D132" s="10" t="s">
        <v>814</v>
      </c>
      <c r="E132" s="8"/>
      <c r="F132" s="8" t="s">
        <v>815</v>
      </c>
      <c r="G132" s="8" t="s">
        <v>816</v>
      </c>
      <c r="H132" s="8" t="s">
        <v>15</v>
      </c>
      <c r="I132" s="8"/>
      <c r="J132" s="8" t="s">
        <v>817</v>
      </c>
    </row>
    <row r="133" customFormat="false" ht="23.85" hidden="false" customHeight="false" outlineLevel="0" collapsed="false">
      <c r="A133" s="8" t="s">
        <v>818</v>
      </c>
      <c r="B133" s="8" t="s">
        <v>800</v>
      </c>
      <c r="C133" s="9" t="n">
        <v>3</v>
      </c>
      <c r="D133" s="10" t="s">
        <v>819</v>
      </c>
      <c r="E133" s="8"/>
      <c r="F133" s="8" t="s">
        <v>820</v>
      </c>
      <c r="G133" s="8" t="s">
        <v>821</v>
      </c>
      <c r="H133" s="8" t="s">
        <v>15</v>
      </c>
      <c r="I133" s="8" t="s">
        <v>822</v>
      </c>
      <c r="J133" s="8" t="s">
        <v>823</v>
      </c>
    </row>
    <row r="134" customFormat="false" ht="23.85" hidden="false" customHeight="false" outlineLevel="0" collapsed="false">
      <c r="A134" s="8" t="s">
        <v>824</v>
      </c>
      <c r="B134" s="8" t="s">
        <v>800</v>
      </c>
      <c r="C134" s="9" t="n">
        <v>3</v>
      </c>
      <c r="D134" s="10" t="s">
        <v>825</v>
      </c>
      <c r="E134" s="8" t="s">
        <v>826</v>
      </c>
      <c r="F134" s="8" t="s">
        <v>827</v>
      </c>
      <c r="G134" s="8" t="s">
        <v>828</v>
      </c>
      <c r="H134" s="8" t="s">
        <v>15</v>
      </c>
      <c r="I134" s="8" t="s">
        <v>829</v>
      </c>
      <c r="J134" s="8" t="s">
        <v>830</v>
      </c>
    </row>
    <row r="135" customFormat="false" ht="15" hidden="false" customHeight="false" outlineLevel="0" collapsed="false">
      <c r="A135" s="8" t="s">
        <v>831</v>
      </c>
      <c r="B135" s="8" t="s">
        <v>800</v>
      </c>
      <c r="C135" s="9" t="n">
        <v>3</v>
      </c>
      <c r="D135" s="10" t="s">
        <v>832</v>
      </c>
      <c r="E135" s="8"/>
      <c r="F135" s="8" t="s">
        <v>833</v>
      </c>
      <c r="G135" s="8" t="s">
        <v>834</v>
      </c>
      <c r="H135" s="8" t="s">
        <v>15</v>
      </c>
      <c r="I135" s="8"/>
      <c r="J135" s="8" t="s">
        <v>835</v>
      </c>
    </row>
    <row r="136" customFormat="false" ht="23.85" hidden="false" customHeight="false" outlineLevel="0" collapsed="false">
      <c r="A136" s="8" t="s">
        <v>836</v>
      </c>
      <c r="B136" s="8" t="s">
        <v>800</v>
      </c>
      <c r="C136" s="9" t="n">
        <v>3</v>
      </c>
      <c r="D136" s="10" t="s">
        <v>837</v>
      </c>
      <c r="E136" s="8" t="s">
        <v>838</v>
      </c>
      <c r="F136" s="8" t="s">
        <v>839</v>
      </c>
      <c r="G136" s="8" t="s">
        <v>840</v>
      </c>
      <c r="H136" s="8" t="s">
        <v>15</v>
      </c>
      <c r="I136" s="8" t="s">
        <v>841</v>
      </c>
      <c r="J136" s="8" t="s">
        <v>842</v>
      </c>
    </row>
    <row r="137" customFormat="false" ht="23.85" hidden="false" customHeight="false" outlineLevel="0" collapsed="false">
      <c r="A137" s="8" t="s">
        <v>843</v>
      </c>
      <c r="B137" s="8" t="s">
        <v>836</v>
      </c>
      <c r="C137" s="9" t="n">
        <v>4</v>
      </c>
      <c r="D137" s="11" t="s">
        <v>844</v>
      </c>
      <c r="E137" s="8"/>
      <c r="F137" s="8" t="s">
        <v>845</v>
      </c>
      <c r="G137" s="8" t="s">
        <v>846</v>
      </c>
      <c r="H137" s="8" t="s">
        <v>15</v>
      </c>
      <c r="I137" s="8"/>
      <c r="J137" s="8" t="s">
        <v>847</v>
      </c>
    </row>
    <row r="138" customFormat="false" ht="23.85" hidden="false" customHeight="false" outlineLevel="0" collapsed="false">
      <c r="A138" s="8" t="s">
        <v>848</v>
      </c>
      <c r="B138" s="8" t="s">
        <v>800</v>
      </c>
      <c r="C138" s="9" t="n">
        <v>3</v>
      </c>
      <c r="D138" s="10" t="s">
        <v>849</v>
      </c>
      <c r="E138" s="8" t="s">
        <v>850</v>
      </c>
      <c r="F138" s="8" t="s">
        <v>851</v>
      </c>
      <c r="G138" s="8" t="s">
        <v>852</v>
      </c>
      <c r="H138" s="8" t="s">
        <v>15</v>
      </c>
      <c r="I138" s="8" t="s">
        <v>853</v>
      </c>
      <c r="J138" s="8" t="s">
        <v>854</v>
      </c>
    </row>
    <row r="139" customFormat="false" ht="23.85" hidden="false" customHeight="false" outlineLevel="0" collapsed="false">
      <c r="A139" s="8" t="s">
        <v>855</v>
      </c>
      <c r="B139" s="8" t="s">
        <v>800</v>
      </c>
      <c r="C139" s="9" t="n">
        <v>3</v>
      </c>
      <c r="D139" s="10" t="s">
        <v>856</v>
      </c>
      <c r="E139" s="8" t="s">
        <v>857</v>
      </c>
      <c r="F139" s="8" t="s">
        <v>858</v>
      </c>
      <c r="G139" s="8" t="s">
        <v>859</v>
      </c>
      <c r="H139" s="8" t="s">
        <v>15</v>
      </c>
      <c r="I139" s="8"/>
      <c r="J139" s="8" t="s">
        <v>860</v>
      </c>
    </row>
    <row r="140" customFormat="false" ht="15" hidden="false" customHeight="false" outlineLevel="0" collapsed="false">
      <c r="A140" s="5" t="s">
        <v>861</v>
      </c>
      <c r="B140" s="5" t="s">
        <v>794</v>
      </c>
      <c r="C140" s="6" t="n">
        <v>2</v>
      </c>
      <c r="D140" s="7" t="s">
        <v>862</v>
      </c>
      <c r="E140" s="5" t="s">
        <v>863</v>
      </c>
      <c r="F140" s="5" t="s">
        <v>864</v>
      </c>
      <c r="G140" s="5" t="s">
        <v>865</v>
      </c>
      <c r="H140" s="5" t="s">
        <v>15</v>
      </c>
      <c r="I140" s="5"/>
      <c r="J140" s="5" t="s">
        <v>866</v>
      </c>
    </row>
    <row r="141" customFormat="false" ht="23.85" hidden="false" customHeight="false" outlineLevel="0" collapsed="false">
      <c r="A141" s="8" t="s">
        <v>867</v>
      </c>
      <c r="B141" s="8" t="s">
        <v>861</v>
      </c>
      <c r="C141" s="9" t="n">
        <v>3</v>
      </c>
      <c r="D141" s="10" t="s">
        <v>868</v>
      </c>
      <c r="E141" s="8" t="s">
        <v>869</v>
      </c>
      <c r="F141" s="8" t="s">
        <v>870</v>
      </c>
      <c r="G141" s="8" t="s">
        <v>871</v>
      </c>
      <c r="H141" s="8" t="s">
        <v>15</v>
      </c>
      <c r="I141" s="8"/>
      <c r="J141" s="8" t="s">
        <v>872</v>
      </c>
    </row>
    <row r="142" customFormat="false" ht="15" hidden="false" customHeight="false" outlineLevel="0" collapsed="false">
      <c r="A142" s="8" t="s">
        <v>873</v>
      </c>
      <c r="B142" s="8" t="s">
        <v>861</v>
      </c>
      <c r="C142" s="9" t="n">
        <v>3</v>
      </c>
      <c r="D142" s="10" t="s">
        <v>874</v>
      </c>
      <c r="E142" s="8"/>
      <c r="F142" s="8" t="s">
        <v>875</v>
      </c>
      <c r="G142" s="8" t="s">
        <v>876</v>
      </c>
      <c r="H142" s="8" t="s">
        <v>15</v>
      </c>
      <c r="I142" s="8"/>
      <c r="J142" s="8" t="s">
        <v>877</v>
      </c>
    </row>
    <row r="143" customFormat="false" ht="15" hidden="false" customHeight="false" outlineLevel="0" collapsed="false">
      <c r="A143" s="8" t="s">
        <v>878</v>
      </c>
      <c r="B143" s="8" t="s">
        <v>861</v>
      </c>
      <c r="C143" s="9" t="n">
        <v>3</v>
      </c>
      <c r="D143" s="10" t="s">
        <v>879</v>
      </c>
      <c r="E143" s="8"/>
      <c r="F143" s="8" t="s">
        <v>880</v>
      </c>
      <c r="G143" s="8" t="s">
        <v>881</v>
      </c>
      <c r="H143" s="8" t="s">
        <v>15</v>
      </c>
      <c r="I143" s="8"/>
      <c r="J143" s="8" t="s">
        <v>882</v>
      </c>
    </row>
    <row r="144" customFormat="false" ht="15" hidden="false" customHeight="false" outlineLevel="0" collapsed="false">
      <c r="A144" s="8" t="s">
        <v>883</v>
      </c>
      <c r="B144" s="8" t="s">
        <v>861</v>
      </c>
      <c r="C144" s="9" t="n">
        <v>3</v>
      </c>
      <c r="D144" s="10" t="s">
        <v>884</v>
      </c>
      <c r="E144" s="8"/>
      <c r="F144" s="8" t="s">
        <v>885</v>
      </c>
      <c r="G144" s="8" t="s">
        <v>886</v>
      </c>
      <c r="H144" s="8" t="s">
        <v>15</v>
      </c>
      <c r="I144" s="8" t="s">
        <v>887</v>
      </c>
      <c r="J144" s="8" t="s">
        <v>888</v>
      </c>
    </row>
    <row r="145" customFormat="false" ht="15" hidden="false" customHeight="false" outlineLevel="0" collapsed="false">
      <c r="A145" s="8" t="s">
        <v>889</v>
      </c>
      <c r="B145" s="8" t="s">
        <v>861</v>
      </c>
      <c r="C145" s="9" t="n">
        <v>3</v>
      </c>
      <c r="D145" s="10" t="s">
        <v>890</v>
      </c>
      <c r="E145" s="8" t="s">
        <v>891</v>
      </c>
      <c r="F145" s="8" t="s">
        <v>892</v>
      </c>
      <c r="G145" s="8" t="s">
        <v>893</v>
      </c>
      <c r="H145" s="8" t="s">
        <v>15</v>
      </c>
      <c r="I145" s="8"/>
      <c r="J145" s="8" t="s">
        <v>894</v>
      </c>
    </row>
    <row r="146" customFormat="false" ht="15" hidden="false" customHeight="false" outlineLevel="0" collapsed="false">
      <c r="A146" s="8" t="s">
        <v>895</v>
      </c>
      <c r="B146" s="8" t="s">
        <v>861</v>
      </c>
      <c r="C146" s="9" t="n">
        <v>3</v>
      </c>
      <c r="D146" s="10" t="s">
        <v>896</v>
      </c>
      <c r="E146" s="8"/>
      <c r="F146" s="8" t="s">
        <v>897</v>
      </c>
      <c r="G146" s="8" t="s">
        <v>898</v>
      </c>
      <c r="H146" s="8" t="s">
        <v>15</v>
      </c>
      <c r="I146" s="8"/>
      <c r="J146" s="8" t="s">
        <v>899</v>
      </c>
    </row>
    <row r="147" customFormat="false" ht="15" hidden="false" customHeight="false" outlineLevel="0" collapsed="false">
      <c r="A147" s="8" t="s">
        <v>900</v>
      </c>
      <c r="B147" s="8" t="s">
        <v>861</v>
      </c>
      <c r="C147" s="9" t="n">
        <v>3</v>
      </c>
      <c r="D147" s="10" t="s">
        <v>901</v>
      </c>
      <c r="E147" s="8"/>
      <c r="F147" s="8" t="s">
        <v>902</v>
      </c>
      <c r="G147" s="8" t="s">
        <v>903</v>
      </c>
      <c r="H147" s="8" t="s">
        <v>15</v>
      </c>
      <c r="I147" s="8"/>
      <c r="J147" s="8" t="s">
        <v>904</v>
      </c>
    </row>
    <row r="148" customFormat="false" ht="23.85" hidden="false" customHeight="false" outlineLevel="0" collapsed="false">
      <c r="A148" s="5" t="s">
        <v>905</v>
      </c>
      <c r="B148" s="5" t="s">
        <v>794</v>
      </c>
      <c r="C148" s="6" t="n">
        <v>2</v>
      </c>
      <c r="D148" s="7" t="s">
        <v>906</v>
      </c>
      <c r="E148" s="5" t="s">
        <v>907</v>
      </c>
      <c r="F148" s="5" t="s">
        <v>908</v>
      </c>
      <c r="G148" s="5" t="s">
        <v>909</v>
      </c>
      <c r="H148" s="5" t="s">
        <v>15</v>
      </c>
      <c r="I148" s="5" t="s">
        <v>910</v>
      </c>
      <c r="J148" s="5" t="s">
        <v>911</v>
      </c>
    </row>
    <row r="149" customFormat="false" ht="23.85" hidden="false" customHeight="false" outlineLevel="0" collapsed="false">
      <c r="A149" s="8" t="s">
        <v>912</v>
      </c>
      <c r="B149" s="8" t="s">
        <v>905</v>
      </c>
      <c r="C149" s="9" t="n">
        <v>3</v>
      </c>
      <c r="D149" s="10" t="s">
        <v>913</v>
      </c>
      <c r="E149" s="8"/>
      <c r="F149" s="8" t="s">
        <v>914</v>
      </c>
      <c r="G149" s="8" t="s">
        <v>915</v>
      </c>
      <c r="H149" s="8" t="s">
        <v>15</v>
      </c>
      <c r="I149" s="8"/>
      <c r="J149" s="8" t="s">
        <v>916</v>
      </c>
    </row>
    <row r="150" customFormat="false" ht="15" hidden="false" customHeight="false" outlineLevel="0" collapsed="false">
      <c r="A150" s="8" t="s">
        <v>917</v>
      </c>
      <c r="B150" s="8" t="s">
        <v>905</v>
      </c>
      <c r="C150" s="9" t="n">
        <v>3</v>
      </c>
      <c r="D150" s="10" t="s">
        <v>918</v>
      </c>
      <c r="E150" s="8"/>
      <c r="F150" s="8" t="s">
        <v>919</v>
      </c>
      <c r="G150" s="8" t="s">
        <v>920</v>
      </c>
      <c r="H150" s="8" t="s">
        <v>15</v>
      </c>
      <c r="I150" s="8"/>
      <c r="J150" s="8" t="s">
        <v>921</v>
      </c>
    </row>
    <row r="151" customFormat="false" ht="15" hidden="false" customHeight="false" outlineLevel="0" collapsed="false">
      <c r="A151" s="8" t="s">
        <v>922</v>
      </c>
      <c r="B151" s="8" t="s">
        <v>905</v>
      </c>
      <c r="C151" s="9" t="n">
        <v>3</v>
      </c>
      <c r="D151" s="10" t="s">
        <v>923</v>
      </c>
      <c r="E151" s="8"/>
      <c r="F151" s="8" t="s">
        <v>924</v>
      </c>
      <c r="G151" s="8" t="s">
        <v>925</v>
      </c>
      <c r="H151" s="8" t="s">
        <v>15</v>
      </c>
      <c r="I151" s="8"/>
      <c r="J151" s="8" t="s">
        <v>926</v>
      </c>
    </row>
    <row r="152" customFormat="false" ht="15" hidden="false" customHeight="false" outlineLevel="0" collapsed="false">
      <c r="A152" s="5" t="s">
        <v>927</v>
      </c>
      <c r="B152" s="5" t="s">
        <v>794</v>
      </c>
      <c r="C152" s="6" t="n">
        <v>2</v>
      </c>
      <c r="D152" s="7" t="s">
        <v>928</v>
      </c>
      <c r="E152" s="5" t="s">
        <v>929</v>
      </c>
      <c r="F152" s="5" t="s">
        <v>930</v>
      </c>
      <c r="G152" s="5" t="s">
        <v>931</v>
      </c>
      <c r="H152" s="5" t="s">
        <v>280</v>
      </c>
      <c r="I152" s="5"/>
      <c r="J152" s="5" t="s">
        <v>932</v>
      </c>
    </row>
    <row r="153" customFormat="false" ht="23.85" hidden="false" customHeight="false" outlineLevel="0" collapsed="false">
      <c r="A153" s="8" t="s">
        <v>933</v>
      </c>
      <c r="B153" s="8" t="s">
        <v>927</v>
      </c>
      <c r="C153" s="9" t="n">
        <v>3</v>
      </c>
      <c r="D153" s="10" t="s">
        <v>934</v>
      </c>
      <c r="E153" s="8"/>
      <c r="F153" s="8" t="s">
        <v>935</v>
      </c>
      <c r="G153" s="8" t="s">
        <v>936</v>
      </c>
      <c r="H153" s="8" t="s">
        <v>280</v>
      </c>
      <c r="I153" s="8" t="s">
        <v>937</v>
      </c>
      <c r="J153" s="8" t="s">
        <v>938</v>
      </c>
    </row>
    <row r="154" customFormat="false" ht="23.85" hidden="false" customHeight="false" outlineLevel="0" collapsed="false">
      <c r="A154" s="8" t="s">
        <v>939</v>
      </c>
      <c r="B154" s="8" t="s">
        <v>933</v>
      </c>
      <c r="C154" s="9" t="n">
        <v>4</v>
      </c>
      <c r="D154" s="11" t="s">
        <v>940</v>
      </c>
      <c r="E154" s="8" t="s">
        <v>941</v>
      </c>
      <c r="F154" s="8" t="s">
        <v>942</v>
      </c>
      <c r="G154" s="8" t="s">
        <v>943</v>
      </c>
      <c r="H154" s="8" t="s">
        <v>280</v>
      </c>
      <c r="I154" s="8" t="s">
        <v>944</v>
      </c>
      <c r="J154" s="8" t="s">
        <v>945</v>
      </c>
    </row>
    <row r="155" customFormat="false" ht="23.85" hidden="false" customHeight="false" outlineLevel="0" collapsed="false">
      <c r="A155" s="8" t="s">
        <v>946</v>
      </c>
      <c r="B155" s="8" t="s">
        <v>933</v>
      </c>
      <c r="C155" s="9" t="n">
        <v>4</v>
      </c>
      <c r="D155" s="11" t="s">
        <v>947</v>
      </c>
      <c r="E155" s="8"/>
      <c r="F155" s="8" t="s">
        <v>948</v>
      </c>
      <c r="G155" s="8" t="s">
        <v>949</v>
      </c>
      <c r="H155" s="8" t="s">
        <v>280</v>
      </c>
      <c r="I155" s="8" t="s">
        <v>950</v>
      </c>
      <c r="J155" s="8" t="s">
        <v>951</v>
      </c>
    </row>
    <row r="156" customFormat="false" ht="15" hidden="false" customHeight="false" outlineLevel="0" collapsed="false">
      <c r="A156" s="8" t="s">
        <v>952</v>
      </c>
      <c r="B156" s="8" t="s">
        <v>927</v>
      </c>
      <c r="C156" s="9" t="n">
        <v>3</v>
      </c>
      <c r="D156" s="10" t="s">
        <v>953</v>
      </c>
      <c r="E156" s="8"/>
      <c r="F156" s="8" t="s">
        <v>954</v>
      </c>
      <c r="G156" s="8" t="s">
        <v>955</v>
      </c>
      <c r="H156" s="8" t="s">
        <v>280</v>
      </c>
      <c r="I156" s="8" t="s">
        <v>956</v>
      </c>
      <c r="J156" s="8" t="s">
        <v>957</v>
      </c>
    </row>
    <row r="157" customFormat="false" ht="23.85" hidden="false" customHeight="false" outlineLevel="0" collapsed="false">
      <c r="A157" s="8" t="s">
        <v>958</v>
      </c>
      <c r="B157" s="8" t="s">
        <v>952</v>
      </c>
      <c r="C157" s="9" t="n">
        <v>4</v>
      </c>
      <c r="D157" s="11" t="s">
        <v>959</v>
      </c>
      <c r="E157" s="8"/>
      <c r="F157" s="8" t="s">
        <v>960</v>
      </c>
      <c r="G157" s="8" t="s">
        <v>961</v>
      </c>
      <c r="H157" s="8" t="s">
        <v>15</v>
      </c>
      <c r="I157" s="8" t="s">
        <v>962</v>
      </c>
      <c r="J157" s="8" t="s">
        <v>963</v>
      </c>
    </row>
    <row r="158" customFormat="false" ht="35.05" hidden="false" customHeight="false" outlineLevel="0" collapsed="false">
      <c r="A158" s="8" t="s">
        <v>964</v>
      </c>
      <c r="B158" s="8" t="s">
        <v>927</v>
      </c>
      <c r="C158" s="9" t="n">
        <v>3</v>
      </c>
      <c r="D158" s="10" t="s">
        <v>965</v>
      </c>
      <c r="E158" s="8" t="s">
        <v>966</v>
      </c>
      <c r="F158" s="8" t="s">
        <v>967</v>
      </c>
      <c r="G158" s="8" t="s">
        <v>968</v>
      </c>
      <c r="H158" s="8" t="s">
        <v>280</v>
      </c>
      <c r="I158" s="8" t="s">
        <v>969</v>
      </c>
      <c r="J158" s="8" t="s">
        <v>970</v>
      </c>
    </row>
    <row r="159" customFormat="false" ht="23.85" hidden="false" customHeight="false" outlineLevel="0" collapsed="false">
      <c r="A159" s="8" t="s">
        <v>971</v>
      </c>
      <c r="B159" s="8" t="s">
        <v>927</v>
      </c>
      <c r="C159" s="9" t="n">
        <v>3</v>
      </c>
      <c r="D159" s="10" t="s">
        <v>972</v>
      </c>
      <c r="E159" s="8" t="s">
        <v>973</v>
      </c>
      <c r="F159" s="8" t="s">
        <v>974</v>
      </c>
      <c r="G159" s="8" t="s">
        <v>975</v>
      </c>
      <c r="H159" s="8" t="s">
        <v>280</v>
      </c>
      <c r="I159" s="8" t="s">
        <v>976</v>
      </c>
      <c r="J159" s="8" t="s">
        <v>977</v>
      </c>
    </row>
    <row r="160" customFormat="false" ht="23.85" hidden="false" customHeight="false" outlineLevel="0" collapsed="false">
      <c r="A160" s="8" t="s">
        <v>978</v>
      </c>
      <c r="B160" s="8" t="s">
        <v>927</v>
      </c>
      <c r="C160" s="9" t="n">
        <v>3</v>
      </c>
      <c r="D160" s="10" t="s">
        <v>979</v>
      </c>
      <c r="E160" s="8" t="s">
        <v>980</v>
      </c>
      <c r="F160" s="8" t="s">
        <v>981</v>
      </c>
      <c r="G160" s="8" t="s">
        <v>982</v>
      </c>
      <c r="H160" s="8" t="s">
        <v>15</v>
      </c>
      <c r="I160" s="8" t="s">
        <v>983</v>
      </c>
      <c r="J160" s="8" t="s">
        <v>984</v>
      </c>
    </row>
    <row r="161" customFormat="false" ht="23.85" hidden="false" customHeight="false" outlineLevel="0" collapsed="false">
      <c r="A161" s="5" t="s">
        <v>985</v>
      </c>
      <c r="B161" s="5" t="s">
        <v>794</v>
      </c>
      <c r="C161" s="6" t="n">
        <v>2</v>
      </c>
      <c r="D161" s="7" t="s">
        <v>986</v>
      </c>
      <c r="E161" s="5" t="s">
        <v>987</v>
      </c>
      <c r="F161" s="5" t="s">
        <v>988</v>
      </c>
      <c r="G161" s="5" t="s">
        <v>989</v>
      </c>
      <c r="H161" s="5" t="s">
        <v>15</v>
      </c>
      <c r="I161" s="5" t="s">
        <v>990</v>
      </c>
      <c r="J161" s="5" t="s">
        <v>991</v>
      </c>
    </row>
    <row r="162" customFormat="false" ht="23.85" hidden="false" customHeight="false" outlineLevel="0" collapsed="false">
      <c r="A162" s="8" t="s">
        <v>992</v>
      </c>
      <c r="B162" s="8" t="s">
        <v>985</v>
      </c>
      <c r="C162" s="9" t="n">
        <v>3</v>
      </c>
      <c r="D162" s="10" t="s">
        <v>993</v>
      </c>
      <c r="E162" s="8"/>
      <c r="F162" s="8" t="s">
        <v>994</v>
      </c>
      <c r="G162" s="8" t="s">
        <v>995</v>
      </c>
      <c r="H162" s="8" t="s">
        <v>15</v>
      </c>
      <c r="I162" s="8"/>
      <c r="J162" s="8" t="s">
        <v>996</v>
      </c>
    </row>
    <row r="163" customFormat="false" ht="15" hidden="false" customHeight="false" outlineLevel="0" collapsed="false">
      <c r="A163" s="8" t="s">
        <v>997</v>
      </c>
      <c r="B163" s="8" t="s">
        <v>985</v>
      </c>
      <c r="C163" s="9" t="n">
        <v>3</v>
      </c>
      <c r="D163" s="10" t="s">
        <v>998</v>
      </c>
      <c r="E163" s="8"/>
      <c r="F163" s="8" t="s">
        <v>999</v>
      </c>
      <c r="G163" s="8" t="s">
        <v>1000</v>
      </c>
      <c r="H163" s="8" t="s">
        <v>15</v>
      </c>
      <c r="I163" s="8"/>
      <c r="J163" s="8" t="s">
        <v>1001</v>
      </c>
    </row>
    <row r="164" customFormat="false" ht="15" hidden="false" customHeight="false" outlineLevel="0" collapsed="false">
      <c r="A164" s="8" t="s">
        <v>1002</v>
      </c>
      <c r="B164" s="8" t="s">
        <v>985</v>
      </c>
      <c r="C164" s="9" t="n">
        <v>3</v>
      </c>
      <c r="D164" s="10" t="s">
        <v>1003</v>
      </c>
      <c r="E164" s="8"/>
      <c r="F164" s="8" t="s">
        <v>1004</v>
      </c>
      <c r="G164" s="8" t="s">
        <v>1005</v>
      </c>
      <c r="H164" s="8" t="s">
        <v>15</v>
      </c>
      <c r="I164" s="8"/>
      <c r="J164" s="8" t="s">
        <v>1006</v>
      </c>
    </row>
    <row r="165" customFormat="false" ht="23.85" hidden="false" customHeight="false" outlineLevel="0" collapsed="false">
      <c r="A165" s="8" t="s">
        <v>1007</v>
      </c>
      <c r="B165" s="8" t="s">
        <v>985</v>
      </c>
      <c r="C165" s="9" t="n">
        <v>3</v>
      </c>
      <c r="D165" s="10" t="s">
        <v>1008</v>
      </c>
      <c r="E165" s="8" t="s">
        <v>1009</v>
      </c>
      <c r="F165" s="8" t="s">
        <v>1010</v>
      </c>
      <c r="G165" s="8" t="s">
        <v>1011</v>
      </c>
      <c r="H165" s="8" t="s">
        <v>15</v>
      </c>
      <c r="I165" s="8" t="s">
        <v>1012</v>
      </c>
      <c r="J165" s="8" t="s">
        <v>1013</v>
      </c>
    </row>
    <row r="166" customFormat="false" ht="23.85" hidden="false" customHeight="false" outlineLevel="0" collapsed="false">
      <c r="A166" s="5" t="s">
        <v>1014</v>
      </c>
      <c r="B166" s="5" t="s">
        <v>794</v>
      </c>
      <c r="C166" s="6" t="n">
        <v>2</v>
      </c>
      <c r="D166" s="7" t="s">
        <v>1015</v>
      </c>
      <c r="E166" s="5" t="s">
        <v>1016</v>
      </c>
      <c r="F166" s="5" t="s">
        <v>1017</v>
      </c>
      <c r="G166" s="5" t="s">
        <v>1018</v>
      </c>
      <c r="H166" s="5" t="s">
        <v>15</v>
      </c>
      <c r="I166" s="5" t="s">
        <v>1019</v>
      </c>
      <c r="J166" s="5" t="s">
        <v>1020</v>
      </c>
    </row>
    <row r="167" customFormat="false" ht="23.85" hidden="false" customHeight="false" outlineLevel="0" collapsed="false">
      <c r="A167" s="5" t="s">
        <v>1021</v>
      </c>
      <c r="B167" s="5" t="s">
        <v>794</v>
      </c>
      <c r="C167" s="6" t="n">
        <v>2</v>
      </c>
      <c r="D167" s="7" t="s">
        <v>1022</v>
      </c>
      <c r="E167" s="5" t="s">
        <v>1023</v>
      </c>
      <c r="F167" s="5" t="s">
        <v>1024</v>
      </c>
      <c r="G167" s="5" t="s">
        <v>1025</v>
      </c>
      <c r="H167" s="5" t="s">
        <v>15</v>
      </c>
      <c r="I167" s="5" t="s">
        <v>1026</v>
      </c>
      <c r="J167" s="5" t="s">
        <v>1027</v>
      </c>
    </row>
    <row r="168" customFormat="false" ht="23.85" hidden="false" customHeight="false" outlineLevel="0" collapsed="false">
      <c r="A168" s="2" t="s">
        <v>1028</v>
      </c>
      <c r="B168" s="2"/>
      <c r="C168" s="3" t="n">
        <v>1</v>
      </c>
      <c r="D168" s="4" t="s">
        <v>1029</v>
      </c>
      <c r="E168" s="2" t="s">
        <v>1030</v>
      </c>
      <c r="F168" s="2" t="s">
        <v>1031</v>
      </c>
      <c r="G168" s="2" t="s">
        <v>1032</v>
      </c>
      <c r="H168" s="2" t="s">
        <v>280</v>
      </c>
      <c r="I168" s="2" t="s">
        <v>1033</v>
      </c>
      <c r="J168" s="2" t="s">
        <v>1029</v>
      </c>
    </row>
    <row r="169" customFormat="false" ht="15" hidden="false" customHeight="false" outlineLevel="0" collapsed="false">
      <c r="A169" s="5" t="s">
        <v>1034</v>
      </c>
      <c r="B169" s="5" t="s">
        <v>1028</v>
      </c>
      <c r="C169" s="6" t="n">
        <v>2</v>
      </c>
      <c r="D169" s="7" t="s">
        <v>1035</v>
      </c>
      <c r="E169" s="5"/>
      <c r="F169" s="5" t="s">
        <v>1036</v>
      </c>
      <c r="G169" s="5" t="s">
        <v>1037</v>
      </c>
      <c r="H169" s="5" t="s">
        <v>15</v>
      </c>
      <c r="I169" s="5"/>
      <c r="J169" s="5" t="s">
        <v>1038</v>
      </c>
    </row>
    <row r="170" customFormat="false" ht="23.85" hidden="false" customHeight="false" outlineLevel="0" collapsed="false">
      <c r="A170" s="8" t="s">
        <v>1039</v>
      </c>
      <c r="B170" s="8" t="s">
        <v>1034</v>
      </c>
      <c r="C170" s="9" t="n">
        <v>3</v>
      </c>
      <c r="D170" s="10" t="s">
        <v>1040</v>
      </c>
      <c r="E170" s="8" t="s">
        <v>1041</v>
      </c>
      <c r="F170" s="8" t="s">
        <v>1042</v>
      </c>
      <c r="G170" s="8" t="s">
        <v>1043</v>
      </c>
      <c r="H170" s="8" t="s">
        <v>15</v>
      </c>
      <c r="I170" s="8" t="s">
        <v>1044</v>
      </c>
      <c r="J170" s="8" t="s">
        <v>1045</v>
      </c>
    </row>
    <row r="171" customFormat="false" ht="23.85" hidden="false" customHeight="false" outlineLevel="0" collapsed="false">
      <c r="A171" s="8" t="s">
        <v>1046</v>
      </c>
      <c r="B171" s="8" t="s">
        <v>1034</v>
      </c>
      <c r="C171" s="9" t="n">
        <v>3</v>
      </c>
      <c r="D171" s="10" t="s">
        <v>1047</v>
      </c>
      <c r="E171" s="8" t="s">
        <v>1048</v>
      </c>
      <c r="F171" s="8" t="s">
        <v>1049</v>
      </c>
      <c r="G171" s="8" t="s">
        <v>1050</v>
      </c>
      <c r="H171" s="8" t="s">
        <v>15</v>
      </c>
      <c r="I171" s="8" t="s">
        <v>1051</v>
      </c>
      <c r="J171" s="8" t="s">
        <v>1052</v>
      </c>
    </row>
    <row r="172" customFormat="false" ht="23.85" hidden="false" customHeight="false" outlineLevel="0" collapsed="false">
      <c r="A172" s="8" t="s">
        <v>1053</v>
      </c>
      <c r="B172" s="8" t="s">
        <v>1034</v>
      </c>
      <c r="C172" s="9" t="n">
        <v>3</v>
      </c>
      <c r="D172" s="10" t="s">
        <v>1054</v>
      </c>
      <c r="E172" s="8" t="s">
        <v>1055</v>
      </c>
      <c r="F172" s="8" t="s">
        <v>1056</v>
      </c>
      <c r="G172" s="8" t="s">
        <v>1057</v>
      </c>
      <c r="H172" s="8" t="s">
        <v>15</v>
      </c>
      <c r="I172" s="8" t="s">
        <v>1058</v>
      </c>
      <c r="J172" s="8" t="s">
        <v>1059</v>
      </c>
    </row>
    <row r="173" customFormat="false" ht="15" hidden="false" customHeight="false" outlineLevel="0" collapsed="false">
      <c r="A173" s="8" t="s">
        <v>1060</v>
      </c>
      <c r="B173" s="8" t="s">
        <v>1034</v>
      </c>
      <c r="C173" s="9" t="n">
        <v>3</v>
      </c>
      <c r="D173" s="10" t="s">
        <v>1061</v>
      </c>
      <c r="E173" s="8"/>
      <c r="F173" s="8" t="s">
        <v>1062</v>
      </c>
      <c r="G173" s="8" t="s">
        <v>1063</v>
      </c>
      <c r="H173" s="8" t="s">
        <v>15</v>
      </c>
      <c r="I173" s="8" t="s">
        <v>1064</v>
      </c>
      <c r="J173" s="8" t="s">
        <v>1065</v>
      </c>
    </row>
    <row r="174" customFormat="false" ht="23.85" hidden="false" customHeight="false" outlineLevel="0" collapsed="false">
      <c r="A174" s="8" t="s">
        <v>1066</v>
      </c>
      <c r="B174" s="8" t="s">
        <v>1034</v>
      </c>
      <c r="C174" s="9" t="n">
        <v>3</v>
      </c>
      <c r="D174" s="10" t="s">
        <v>1067</v>
      </c>
      <c r="E174" s="8" t="s">
        <v>1068</v>
      </c>
      <c r="F174" s="8" t="s">
        <v>1069</v>
      </c>
      <c r="G174" s="8" t="s">
        <v>1070</v>
      </c>
      <c r="H174" s="8" t="s">
        <v>15</v>
      </c>
      <c r="I174" s="8" t="s">
        <v>1071</v>
      </c>
      <c r="J174" s="8" t="s">
        <v>1072</v>
      </c>
    </row>
    <row r="175" customFormat="false" ht="23.85" hidden="false" customHeight="false" outlineLevel="0" collapsed="false">
      <c r="A175" s="5" t="s">
        <v>1073</v>
      </c>
      <c r="B175" s="5" t="s">
        <v>1028</v>
      </c>
      <c r="C175" s="6" t="n">
        <v>2</v>
      </c>
      <c r="D175" s="7" t="s">
        <v>1074</v>
      </c>
      <c r="E175" s="5" t="s">
        <v>1075</v>
      </c>
      <c r="F175" s="5" t="s">
        <v>1076</v>
      </c>
      <c r="G175" s="5" t="s">
        <v>1077</v>
      </c>
      <c r="H175" s="5" t="s">
        <v>258</v>
      </c>
      <c r="I175" s="5" t="s">
        <v>1078</v>
      </c>
      <c r="J175" s="5" t="s">
        <v>1079</v>
      </c>
    </row>
    <row r="176" customFormat="false" ht="23.85" hidden="false" customHeight="false" outlineLevel="0" collapsed="false">
      <c r="A176" s="8" t="s">
        <v>1080</v>
      </c>
      <c r="B176" s="8" t="s">
        <v>1073</v>
      </c>
      <c r="C176" s="9" t="n">
        <v>3</v>
      </c>
      <c r="D176" s="10" t="s">
        <v>1081</v>
      </c>
      <c r="E176" s="8"/>
      <c r="F176" s="8" t="s">
        <v>1082</v>
      </c>
      <c r="G176" s="8" t="s">
        <v>1083</v>
      </c>
      <c r="H176" s="8" t="s">
        <v>258</v>
      </c>
      <c r="I176" s="8"/>
      <c r="J176" s="8" t="s">
        <v>1084</v>
      </c>
    </row>
    <row r="177" customFormat="false" ht="23.85" hidden="false" customHeight="false" outlineLevel="0" collapsed="false">
      <c r="A177" s="8" t="s">
        <v>1085</v>
      </c>
      <c r="B177" s="8" t="s">
        <v>1080</v>
      </c>
      <c r="C177" s="9" t="n">
        <v>4</v>
      </c>
      <c r="D177" s="11" t="s">
        <v>1086</v>
      </c>
      <c r="E177" s="8"/>
      <c r="F177" s="8" t="s">
        <v>1087</v>
      </c>
      <c r="G177" s="8" t="s">
        <v>1088</v>
      </c>
      <c r="H177" s="8" t="s">
        <v>258</v>
      </c>
      <c r="I177" s="8"/>
      <c r="J177" s="8" t="s">
        <v>1089</v>
      </c>
    </row>
    <row r="178" customFormat="false" ht="23.85" hidden="false" customHeight="false" outlineLevel="0" collapsed="false">
      <c r="A178" s="8" t="s">
        <v>1090</v>
      </c>
      <c r="B178" s="8" t="s">
        <v>1080</v>
      </c>
      <c r="C178" s="9" t="n">
        <v>4</v>
      </c>
      <c r="D178" s="11" t="s">
        <v>1091</v>
      </c>
      <c r="E178" s="8" t="s">
        <v>1092</v>
      </c>
      <c r="F178" s="8" t="s">
        <v>1093</v>
      </c>
      <c r="G178" s="8" t="s">
        <v>1094</v>
      </c>
      <c r="H178" s="8" t="s">
        <v>258</v>
      </c>
      <c r="I178" s="8" t="s">
        <v>1095</v>
      </c>
      <c r="J178" s="8" t="s">
        <v>1096</v>
      </c>
    </row>
    <row r="179" customFormat="false" ht="23.85" hidden="false" customHeight="false" outlineLevel="0" collapsed="false">
      <c r="A179" s="8" t="s">
        <v>1097</v>
      </c>
      <c r="B179" s="8" t="s">
        <v>1073</v>
      </c>
      <c r="C179" s="9" t="n">
        <v>3</v>
      </c>
      <c r="D179" s="10" t="s">
        <v>1098</v>
      </c>
      <c r="E179" s="8"/>
      <c r="F179" s="8" t="s">
        <v>1099</v>
      </c>
      <c r="G179" s="8" t="s">
        <v>1100</v>
      </c>
      <c r="H179" s="8" t="s">
        <v>258</v>
      </c>
      <c r="I179" s="8"/>
      <c r="J179" s="8" t="s">
        <v>1101</v>
      </c>
    </row>
    <row r="180" customFormat="false" ht="15" hidden="false" customHeight="false" outlineLevel="0" collapsed="false">
      <c r="A180" s="8" t="s">
        <v>1102</v>
      </c>
      <c r="B180" s="8" t="s">
        <v>1073</v>
      </c>
      <c r="C180" s="9" t="n">
        <v>3</v>
      </c>
      <c r="D180" s="10" t="s">
        <v>1103</v>
      </c>
      <c r="E180" s="8"/>
      <c r="F180" s="8" t="s">
        <v>1104</v>
      </c>
      <c r="G180" s="8" t="s">
        <v>1105</v>
      </c>
      <c r="H180" s="8" t="s">
        <v>258</v>
      </c>
      <c r="I180" s="8"/>
      <c r="J180" s="8" t="s">
        <v>1106</v>
      </c>
    </row>
    <row r="181" customFormat="false" ht="15" hidden="false" customHeight="false" outlineLevel="0" collapsed="false">
      <c r="A181" s="8" t="s">
        <v>1107</v>
      </c>
      <c r="B181" s="8" t="s">
        <v>1073</v>
      </c>
      <c r="C181" s="9" t="n">
        <v>3</v>
      </c>
      <c r="D181" s="10" t="s">
        <v>1108</v>
      </c>
      <c r="E181" s="8"/>
      <c r="F181" s="8" t="s">
        <v>1109</v>
      </c>
      <c r="G181" s="8" t="s">
        <v>1110</v>
      </c>
      <c r="H181" s="8" t="s">
        <v>258</v>
      </c>
      <c r="I181" s="8" t="s">
        <v>1111</v>
      </c>
      <c r="J181" s="8" t="s">
        <v>1112</v>
      </c>
    </row>
    <row r="182" customFormat="false" ht="23.85" hidden="false" customHeight="false" outlineLevel="0" collapsed="false">
      <c r="A182" s="8" t="s">
        <v>1113</v>
      </c>
      <c r="B182" s="8" t="s">
        <v>1073</v>
      </c>
      <c r="C182" s="9" t="n">
        <v>3</v>
      </c>
      <c r="D182" s="10" t="s">
        <v>1114</v>
      </c>
      <c r="E182" s="8"/>
      <c r="F182" s="8" t="s">
        <v>1115</v>
      </c>
      <c r="G182" s="8" t="s">
        <v>1116</v>
      </c>
      <c r="H182" s="8" t="s">
        <v>258</v>
      </c>
      <c r="I182" s="8"/>
      <c r="J182" s="8" t="s">
        <v>1117</v>
      </c>
    </row>
    <row r="183" customFormat="false" ht="15" hidden="false" customHeight="false" outlineLevel="0" collapsed="false">
      <c r="A183" s="5" t="s">
        <v>1118</v>
      </c>
      <c r="B183" s="5" t="s">
        <v>1028</v>
      </c>
      <c r="C183" s="6" t="n">
        <v>2</v>
      </c>
      <c r="D183" s="7" t="s">
        <v>1119</v>
      </c>
      <c r="E183" s="5"/>
      <c r="F183" s="5" t="s">
        <v>1120</v>
      </c>
      <c r="G183" s="5" t="s">
        <v>1121</v>
      </c>
      <c r="H183" s="5" t="s">
        <v>258</v>
      </c>
      <c r="I183" s="5"/>
      <c r="J183" s="5" t="s">
        <v>1122</v>
      </c>
    </row>
    <row r="184" customFormat="false" ht="23.85" hidden="false" customHeight="false" outlineLevel="0" collapsed="false">
      <c r="A184" s="8" t="s">
        <v>1123</v>
      </c>
      <c r="B184" s="8" t="s">
        <v>1118</v>
      </c>
      <c r="C184" s="9" t="n">
        <v>3</v>
      </c>
      <c r="D184" s="10" t="s">
        <v>1124</v>
      </c>
      <c r="E184" s="8"/>
      <c r="F184" s="8" t="s">
        <v>1125</v>
      </c>
      <c r="G184" s="8" t="s">
        <v>1126</v>
      </c>
      <c r="H184" s="8" t="s">
        <v>258</v>
      </c>
      <c r="I184" s="8"/>
      <c r="J184" s="8" t="s">
        <v>1127</v>
      </c>
    </row>
    <row r="185" customFormat="false" ht="15" hidden="false" customHeight="false" outlineLevel="0" collapsed="false">
      <c r="A185" s="8" t="s">
        <v>1128</v>
      </c>
      <c r="B185" s="8" t="s">
        <v>1118</v>
      </c>
      <c r="C185" s="9" t="n">
        <v>3</v>
      </c>
      <c r="D185" s="10" t="s">
        <v>1129</v>
      </c>
      <c r="E185" s="8" t="s">
        <v>1130</v>
      </c>
      <c r="F185" s="8" t="s">
        <v>1131</v>
      </c>
      <c r="G185" s="8" t="s">
        <v>1132</v>
      </c>
      <c r="H185" s="8" t="s">
        <v>258</v>
      </c>
      <c r="I185" s="8" t="s">
        <v>1133</v>
      </c>
      <c r="J185" s="8" t="s">
        <v>1134</v>
      </c>
    </row>
    <row r="186" customFormat="false" ht="23.85" hidden="false" customHeight="false" outlineLevel="0" collapsed="false">
      <c r="A186" s="8" t="s">
        <v>1135</v>
      </c>
      <c r="B186" s="8" t="s">
        <v>1118</v>
      </c>
      <c r="C186" s="9" t="n">
        <v>3</v>
      </c>
      <c r="D186" s="10" t="s">
        <v>1136</v>
      </c>
      <c r="E186" s="8" t="s">
        <v>1137</v>
      </c>
      <c r="F186" s="8" t="s">
        <v>1138</v>
      </c>
      <c r="G186" s="8" t="s">
        <v>1139</v>
      </c>
      <c r="H186" s="8" t="s">
        <v>258</v>
      </c>
      <c r="I186" s="8" t="s">
        <v>1140</v>
      </c>
      <c r="J186" s="8" t="s">
        <v>1141</v>
      </c>
    </row>
    <row r="187" customFormat="false" ht="23.85" hidden="false" customHeight="false" outlineLevel="0" collapsed="false">
      <c r="A187" s="8" t="s">
        <v>1142</v>
      </c>
      <c r="B187" s="8" t="s">
        <v>1118</v>
      </c>
      <c r="C187" s="9" t="n">
        <v>3</v>
      </c>
      <c r="D187" s="10" t="s">
        <v>1143</v>
      </c>
      <c r="E187" s="8" t="s">
        <v>1144</v>
      </c>
      <c r="F187" s="8" t="s">
        <v>1145</v>
      </c>
      <c r="G187" s="8" t="s">
        <v>1146</v>
      </c>
      <c r="H187" s="8" t="s">
        <v>258</v>
      </c>
      <c r="I187" s="8" t="s">
        <v>1147</v>
      </c>
      <c r="J187" s="8" t="s">
        <v>1148</v>
      </c>
    </row>
    <row r="188" customFormat="false" ht="23.85" hidden="false" customHeight="false" outlineLevel="0" collapsed="false">
      <c r="A188" s="8" t="s">
        <v>1149</v>
      </c>
      <c r="B188" s="8" t="s">
        <v>1142</v>
      </c>
      <c r="C188" s="9" t="n">
        <v>4</v>
      </c>
      <c r="D188" s="11" t="s">
        <v>1150</v>
      </c>
      <c r="E188" s="8"/>
      <c r="F188" s="8" t="s">
        <v>1151</v>
      </c>
      <c r="G188" s="8" t="s">
        <v>1152</v>
      </c>
      <c r="H188" s="8" t="s">
        <v>258</v>
      </c>
      <c r="I188" s="8"/>
      <c r="J188" s="8" t="s">
        <v>1153</v>
      </c>
    </row>
    <row r="189" customFormat="false" ht="23.85" hidden="false" customHeight="false" outlineLevel="0" collapsed="false">
      <c r="A189" s="8" t="s">
        <v>1154</v>
      </c>
      <c r="B189" s="8" t="s">
        <v>1142</v>
      </c>
      <c r="C189" s="9" t="n">
        <v>4</v>
      </c>
      <c r="D189" s="11" t="s">
        <v>1155</v>
      </c>
      <c r="E189" s="8"/>
      <c r="F189" s="8" t="s">
        <v>1156</v>
      </c>
      <c r="G189" s="8" t="s">
        <v>1157</v>
      </c>
      <c r="H189" s="8" t="s">
        <v>258</v>
      </c>
      <c r="I189" s="8" t="s">
        <v>1158</v>
      </c>
      <c r="J189" s="8" t="s">
        <v>1159</v>
      </c>
    </row>
    <row r="190" customFormat="false" ht="15" hidden="false" customHeight="false" outlineLevel="0" collapsed="false">
      <c r="A190" s="8" t="s">
        <v>1160</v>
      </c>
      <c r="B190" s="8" t="s">
        <v>1118</v>
      </c>
      <c r="C190" s="9" t="n">
        <v>3</v>
      </c>
      <c r="D190" s="10" t="s">
        <v>1161</v>
      </c>
      <c r="E190" s="8"/>
      <c r="F190" s="8" t="s">
        <v>1162</v>
      </c>
      <c r="G190" s="8" t="s">
        <v>1163</v>
      </c>
      <c r="H190" s="8" t="s">
        <v>258</v>
      </c>
      <c r="I190" s="8"/>
      <c r="J190" s="8" t="s">
        <v>1164</v>
      </c>
    </row>
    <row r="191" customFormat="false" ht="15" hidden="false" customHeight="false" outlineLevel="0" collapsed="false">
      <c r="A191" s="8" t="s">
        <v>1165</v>
      </c>
      <c r="B191" s="8" t="s">
        <v>1118</v>
      </c>
      <c r="C191" s="9" t="n">
        <v>3</v>
      </c>
      <c r="D191" s="10" t="s">
        <v>1166</v>
      </c>
      <c r="E191" s="8"/>
      <c r="F191" s="8" t="s">
        <v>1167</v>
      </c>
      <c r="G191" s="8" t="s">
        <v>1168</v>
      </c>
      <c r="H191" s="8" t="s">
        <v>258</v>
      </c>
      <c r="I191" s="8"/>
      <c r="J191" s="8" t="s">
        <v>1169</v>
      </c>
    </row>
    <row r="192" customFormat="false" ht="15" hidden="false" customHeight="false" outlineLevel="0" collapsed="false">
      <c r="A192" s="8" t="s">
        <v>1170</v>
      </c>
      <c r="B192" s="8" t="s">
        <v>1118</v>
      </c>
      <c r="C192" s="9" t="n">
        <v>3</v>
      </c>
      <c r="D192" s="10" t="s">
        <v>1171</v>
      </c>
      <c r="E192" s="8"/>
      <c r="F192" s="8" t="s">
        <v>1172</v>
      </c>
      <c r="G192" s="8" t="s">
        <v>1173</v>
      </c>
      <c r="H192" s="8" t="s">
        <v>280</v>
      </c>
      <c r="I192" s="8"/>
      <c r="J192" s="8" t="s">
        <v>1174</v>
      </c>
    </row>
    <row r="193" customFormat="false" ht="23.85" hidden="false" customHeight="false" outlineLevel="0" collapsed="false">
      <c r="A193" s="5" t="s">
        <v>1175</v>
      </c>
      <c r="B193" s="5" t="s">
        <v>1028</v>
      </c>
      <c r="C193" s="6" t="n">
        <v>2</v>
      </c>
      <c r="D193" s="7" t="s">
        <v>1176</v>
      </c>
      <c r="E193" s="5" t="s">
        <v>1177</v>
      </c>
      <c r="F193" s="5" t="s">
        <v>1178</v>
      </c>
      <c r="G193" s="5" t="s">
        <v>1179</v>
      </c>
      <c r="H193" s="5" t="s">
        <v>258</v>
      </c>
      <c r="I193" s="5" t="s">
        <v>1180</v>
      </c>
      <c r="J193" s="5" t="s">
        <v>1181</v>
      </c>
    </row>
    <row r="194" customFormat="false" ht="23.85" hidden="false" customHeight="false" outlineLevel="0" collapsed="false">
      <c r="A194" s="8" t="s">
        <v>1182</v>
      </c>
      <c r="B194" s="8" t="s">
        <v>1175</v>
      </c>
      <c r="C194" s="9" t="n">
        <v>3</v>
      </c>
      <c r="D194" s="10" t="s">
        <v>1183</v>
      </c>
      <c r="E194" s="8"/>
      <c r="F194" s="8" t="s">
        <v>1184</v>
      </c>
      <c r="G194" s="8" t="s">
        <v>1185</v>
      </c>
      <c r="H194" s="8" t="s">
        <v>258</v>
      </c>
      <c r="I194" s="8"/>
      <c r="J194" s="8" t="s">
        <v>1186</v>
      </c>
    </row>
    <row r="195" customFormat="false" ht="23.85" hidden="false" customHeight="false" outlineLevel="0" collapsed="false">
      <c r="A195" s="8" t="s">
        <v>1187</v>
      </c>
      <c r="B195" s="8" t="s">
        <v>1175</v>
      </c>
      <c r="C195" s="9" t="n">
        <v>3</v>
      </c>
      <c r="D195" s="10" t="s">
        <v>1188</v>
      </c>
      <c r="E195" s="8"/>
      <c r="F195" s="8" t="s">
        <v>1189</v>
      </c>
      <c r="G195" s="8" t="s">
        <v>1190</v>
      </c>
      <c r="H195" s="8" t="s">
        <v>258</v>
      </c>
      <c r="I195" s="8" t="s">
        <v>1191</v>
      </c>
      <c r="J195" s="8" t="s">
        <v>1192</v>
      </c>
    </row>
    <row r="196" customFormat="false" ht="23.85" hidden="false" customHeight="false" outlineLevel="0" collapsed="false">
      <c r="A196" s="8" t="s">
        <v>1193</v>
      </c>
      <c r="B196" s="8" t="s">
        <v>1175</v>
      </c>
      <c r="C196" s="9" t="n">
        <v>3</v>
      </c>
      <c r="D196" s="10" t="s">
        <v>1194</v>
      </c>
      <c r="E196" s="8"/>
      <c r="F196" s="8" t="s">
        <v>1195</v>
      </c>
      <c r="G196" s="8" t="s">
        <v>1196</v>
      </c>
      <c r="H196" s="8" t="s">
        <v>258</v>
      </c>
      <c r="I196" s="8"/>
      <c r="J196" s="8" t="s">
        <v>1197</v>
      </c>
    </row>
    <row r="197" customFormat="false" ht="23.85" hidden="false" customHeight="false" outlineLevel="0" collapsed="false">
      <c r="A197" s="8" t="s">
        <v>1198</v>
      </c>
      <c r="B197" s="8" t="s">
        <v>1175</v>
      </c>
      <c r="C197" s="9" t="n">
        <v>3</v>
      </c>
      <c r="D197" s="10" t="s">
        <v>1199</v>
      </c>
      <c r="E197" s="8"/>
      <c r="F197" s="8" t="s">
        <v>1200</v>
      </c>
      <c r="G197" s="8" t="s">
        <v>1201</v>
      </c>
      <c r="H197" s="8" t="s">
        <v>258</v>
      </c>
      <c r="I197" s="8" t="s">
        <v>1202</v>
      </c>
      <c r="J197" s="8" t="s">
        <v>1203</v>
      </c>
    </row>
    <row r="198" customFormat="false" ht="23.85" hidden="false" customHeight="false" outlineLevel="0" collapsed="false">
      <c r="A198" s="8" t="s">
        <v>1204</v>
      </c>
      <c r="B198" s="8" t="s">
        <v>1175</v>
      </c>
      <c r="C198" s="9" t="n">
        <v>3</v>
      </c>
      <c r="D198" s="10" t="s">
        <v>1205</v>
      </c>
      <c r="E198" s="8"/>
      <c r="F198" s="8" t="s">
        <v>1206</v>
      </c>
      <c r="G198" s="8" t="s">
        <v>1207</v>
      </c>
      <c r="H198" s="8" t="s">
        <v>258</v>
      </c>
      <c r="I198" s="8" t="s">
        <v>1208</v>
      </c>
      <c r="J198" s="8" t="s">
        <v>1209</v>
      </c>
    </row>
    <row r="199" customFormat="false" ht="23.85" hidden="false" customHeight="false" outlineLevel="0" collapsed="false">
      <c r="A199" s="8" t="s">
        <v>1210</v>
      </c>
      <c r="B199" s="8" t="s">
        <v>1175</v>
      </c>
      <c r="C199" s="9" t="n">
        <v>3</v>
      </c>
      <c r="D199" s="10" t="s">
        <v>1211</v>
      </c>
      <c r="E199" s="8"/>
      <c r="F199" s="8" t="s">
        <v>1212</v>
      </c>
      <c r="G199" s="8" t="s">
        <v>1213</v>
      </c>
      <c r="H199" s="8" t="s">
        <v>258</v>
      </c>
      <c r="I199" s="8" t="s">
        <v>1214</v>
      </c>
      <c r="J199" s="8" t="s">
        <v>1215</v>
      </c>
    </row>
    <row r="200" customFormat="false" ht="23.85" hidden="false" customHeight="false" outlineLevel="0" collapsed="false">
      <c r="A200" s="8" t="s">
        <v>1216</v>
      </c>
      <c r="B200" s="8" t="s">
        <v>1175</v>
      </c>
      <c r="C200" s="9" t="n">
        <v>3</v>
      </c>
      <c r="D200" s="10" t="s">
        <v>1217</v>
      </c>
      <c r="E200" s="8"/>
      <c r="F200" s="8" t="s">
        <v>1218</v>
      </c>
      <c r="G200" s="8" t="s">
        <v>1219</v>
      </c>
      <c r="H200" s="8" t="s">
        <v>258</v>
      </c>
      <c r="I200" s="8"/>
      <c r="J200" s="8" t="s">
        <v>1220</v>
      </c>
    </row>
    <row r="201" customFormat="false" ht="23.85" hidden="false" customHeight="false" outlineLevel="0" collapsed="false">
      <c r="A201" s="8" t="s">
        <v>1221</v>
      </c>
      <c r="B201" s="8" t="s">
        <v>1216</v>
      </c>
      <c r="C201" s="9" t="n">
        <v>4</v>
      </c>
      <c r="D201" s="11" t="s">
        <v>1222</v>
      </c>
      <c r="E201" s="8" t="s">
        <v>1223</v>
      </c>
      <c r="F201" s="8" t="s">
        <v>1224</v>
      </c>
      <c r="G201" s="8" t="s">
        <v>1225</v>
      </c>
      <c r="H201" s="8" t="s">
        <v>258</v>
      </c>
      <c r="I201" s="8" t="s">
        <v>1226</v>
      </c>
      <c r="J201" s="8" t="s">
        <v>1227</v>
      </c>
    </row>
    <row r="202" customFormat="false" ht="23.85" hidden="false" customHeight="false" outlineLevel="0" collapsed="false">
      <c r="A202" s="8" t="s">
        <v>1228</v>
      </c>
      <c r="B202" s="8" t="s">
        <v>1216</v>
      </c>
      <c r="C202" s="9" t="n">
        <v>4</v>
      </c>
      <c r="D202" s="11" t="s">
        <v>1229</v>
      </c>
      <c r="E202" s="8" t="s">
        <v>1230</v>
      </c>
      <c r="F202" s="8" t="s">
        <v>1231</v>
      </c>
      <c r="G202" s="8" t="s">
        <v>1232</v>
      </c>
      <c r="H202" s="8" t="s">
        <v>258</v>
      </c>
      <c r="I202" s="8"/>
      <c r="J202" s="8" t="s">
        <v>1233</v>
      </c>
    </row>
    <row r="203" customFormat="false" ht="23.85" hidden="false" customHeight="false" outlineLevel="0" collapsed="false">
      <c r="A203" s="8" t="s">
        <v>1234</v>
      </c>
      <c r="B203" s="8" t="s">
        <v>1216</v>
      </c>
      <c r="C203" s="9" t="n">
        <v>4</v>
      </c>
      <c r="D203" s="11" t="s">
        <v>1235</v>
      </c>
      <c r="E203" s="8"/>
      <c r="F203" s="8" t="s">
        <v>1236</v>
      </c>
      <c r="G203" s="8" t="s">
        <v>1237</v>
      </c>
      <c r="H203" s="8" t="s">
        <v>258</v>
      </c>
      <c r="I203" s="8" t="s">
        <v>1238</v>
      </c>
      <c r="J203" s="8" t="s">
        <v>1239</v>
      </c>
    </row>
    <row r="204" customFormat="false" ht="23.85" hidden="false" customHeight="false" outlineLevel="0" collapsed="false">
      <c r="A204" s="8" t="s">
        <v>1240</v>
      </c>
      <c r="B204" s="8" t="s">
        <v>1216</v>
      </c>
      <c r="C204" s="9" t="n">
        <v>4</v>
      </c>
      <c r="D204" s="11" t="s">
        <v>1241</v>
      </c>
      <c r="E204" s="8"/>
      <c r="F204" s="8" t="s">
        <v>1242</v>
      </c>
      <c r="G204" s="8" t="s">
        <v>1243</v>
      </c>
      <c r="H204" s="8" t="s">
        <v>258</v>
      </c>
      <c r="I204" s="8" t="s">
        <v>1244</v>
      </c>
      <c r="J204" s="8" t="s">
        <v>1245</v>
      </c>
    </row>
    <row r="205" customFormat="false" ht="23.85" hidden="false" customHeight="false" outlineLevel="0" collapsed="false">
      <c r="A205" s="8" t="s">
        <v>1246</v>
      </c>
      <c r="B205" s="8" t="s">
        <v>1175</v>
      </c>
      <c r="C205" s="9" t="n">
        <v>3</v>
      </c>
      <c r="D205" s="10" t="s">
        <v>1247</v>
      </c>
      <c r="E205" s="8" t="s">
        <v>1248</v>
      </c>
      <c r="F205" s="8" t="s">
        <v>1249</v>
      </c>
      <c r="G205" s="8" t="s">
        <v>1250</v>
      </c>
      <c r="H205" s="8" t="s">
        <v>258</v>
      </c>
      <c r="I205" s="8"/>
      <c r="J205" s="8" t="s">
        <v>1251</v>
      </c>
    </row>
    <row r="206" customFormat="false" ht="23.85" hidden="false" customHeight="false" outlineLevel="0" collapsed="false">
      <c r="A206" s="8" t="s">
        <v>1252</v>
      </c>
      <c r="B206" s="8" t="s">
        <v>1175</v>
      </c>
      <c r="C206" s="9" t="n">
        <v>3</v>
      </c>
      <c r="D206" s="10" t="s">
        <v>1253</v>
      </c>
      <c r="E206" s="8" t="s">
        <v>1254</v>
      </c>
      <c r="F206" s="8" t="s">
        <v>1255</v>
      </c>
      <c r="G206" s="8" t="s">
        <v>1256</v>
      </c>
      <c r="H206" s="8" t="s">
        <v>258</v>
      </c>
      <c r="I206" s="8"/>
      <c r="J206" s="8" t="s">
        <v>1257</v>
      </c>
    </row>
    <row r="207" customFormat="false" ht="23.85" hidden="false" customHeight="false" outlineLevel="0" collapsed="false">
      <c r="A207" s="5" t="s">
        <v>1258</v>
      </c>
      <c r="B207" s="5" t="s">
        <v>1028</v>
      </c>
      <c r="C207" s="6" t="n">
        <v>2</v>
      </c>
      <c r="D207" s="7" t="s">
        <v>1259</v>
      </c>
      <c r="E207" s="5"/>
      <c r="F207" s="5" t="s">
        <v>1260</v>
      </c>
      <c r="G207" s="5" t="s">
        <v>1261</v>
      </c>
      <c r="H207" s="5" t="s">
        <v>258</v>
      </c>
      <c r="I207" s="5"/>
      <c r="J207" s="5" t="s">
        <v>1262</v>
      </c>
    </row>
    <row r="208" customFormat="false" ht="23.85" hidden="false" customHeight="false" outlineLevel="0" collapsed="false">
      <c r="A208" s="8" t="s">
        <v>1263</v>
      </c>
      <c r="B208" s="8" t="s">
        <v>1258</v>
      </c>
      <c r="C208" s="9" t="n">
        <v>3</v>
      </c>
      <c r="D208" s="10" t="s">
        <v>1264</v>
      </c>
      <c r="E208" s="8"/>
      <c r="F208" s="8" t="s">
        <v>1265</v>
      </c>
      <c r="G208" s="8" t="s">
        <v>1266</v>
      </c>
      <c r="H208" s="8" t="s">
        <v>258</v>
      </c>
      <c r="I208" s="8"/>
      <c r="J208" s="8" t="s">
        <v>1267</v>
      </c>
    </row>
    <row r="209" customFormat="false" ht="15" hidden="false" customHeight="false" outlineLevel="0" collapsed="false">
      <c r="A209" s="8" t="s">
        <v>1268</v>
      </c>
      <c r="B209" s="8" t="s">
        <v>1258</v>
      </c>
      <c r="C209" s="9" t="n">
        <v>3</v>
      </c>
      <c r="D209" s="10" t="s">
        <v>1269</v>
      </c>
      <c r="E209" s="8"/>
      <c r="F209" s="8" t="s">
        <v>1270</v>
      </c>
      <c r="G209" s="8" t="s">
        <v>1271</v>
      </c>
      <c r="H209" s="8" t="s">
        <v>258</v>
      </c>
      <c r="I209" s="8" t="s">
        <v>1272</v>
      </c>
      <c r="J209" s="8" t="s">
        <v>1273</v>
      </c>
    </row>
    <row r="210" customFormat="false" ht="23.85" hidden="false" customHeight="false" outlineLevel="0" collapsed="false">
      <c r="A210" s="5" t="s">
        <v>1274</v>
      </c>
      <c r="B210" s="5" t="s">
        <v>1028</v>
      </c>
      <c r="C210" s="6" t="n">
        <v>2</v>
      </c>
      <c r="D210" s="7" t="s">
        <v>1275</v>
      </c>
      <c r="E210" s="5" t="s">
        <v>1276</v>
      </c>
      <c r="F210" s="5" t="s">
        <v>1277</v>
      </c>
      <c r="G210" s="5" t="s">
        <v>1278</v>
      </c>
      <c r="H210" s="5" t="s">
        <v>15</v>
      </c>
      <c r="I210" s="5" t="s">
        <v>1279</v>
      </c>
      <c r="J210" s="5" t="s">
        <v>1280</v>
      </c>
    </row>
    <row r="211" customFormat="false" ht="35.05" hidden="false" customHeight="false" outlineLevel="0" collapsed="false">
      <c r="A211" s="2" t="s">
        <v>1281</v>
      </c>
      <c r="B211" s="2"/>
      <c r="C211" s="3" t="n">
        <v>1</v>
      </c>
      <c r="D211" s="4" t="s">
        <v>1282</v>
      </c>
      <c r="E211" s="2" t="s">
        <v>1283</v>
      </c>
      <c r="F211" s="2" t="s">
        <v>1284</v>
      </c>
      <c r="G211" s="2" t="s">
        <v>1285</v>
      </c>
      <c r="H211" s="2" t="s">
        <v>280</v>
      </c>
      <c r="I211" s="2" t="s">
        <v>1286</v>
      </c>
      <c r="J211" s="2" t="s">
        <v>1282</v>
      </c>
    </row>
    <row r="212" customFormat="false" ht="15" hidden="false" customHeight="false" outlineLevel="0" collapsed="false">
      <c r="A212" s="5" t="s">
        <v>1287</v>
      </c>
      <c r="B212" s="5" t="s">
        <v>1281</v>
      </c>
      <c r="C212" s="6" t="n">
        <v>2</v>
      </c>
      <c r="D212" s="7" t="s">
        <v>1288</v>
      </c>
      <c r="E212" s="5" t="s">
        <v>1289</v>
      </c>
      <c r="F212" s="5" t="s">
        <v>1290</v>
      </c>
      <c r="G212" s="5" t="s">
        <v>1291</v>
      </c>
      <c r="H212" s="5" t="s">
        <v>15</v>
      </c>
      <c r="I212" s="5" t="s">
        <v>1292</v>
      </c>
      <c r="J212" s="5" t="s">
        <v>1293</v>
      </c>
    </row>
    <row r="213" customFormat="false" ht="23.85" hidden="false" customHeight="false" outlineLevel="0" collapsed="false">
      <c r="A213" s="8" t="s">
        <v>1294</v>
      </c>
      <c r="B213" s="8" t="s">
        <v>1287</v>
      </c>
      <c r="C213" s="9" t="n">
        <v>3</v>
      </c>
      <c r="D213" s="10" t="s">
        <v>1295</v>
      </c>
      <c r="E213" s="8" t="s">
        <v>1296</v>
      </c>
      <c r="F213" s="8" t="s">
        <v>1297</v>
      </c>
      <c r="G213" s="8" t="s">
        <v>1298</v>
      </c>
      <c r="H213" s="8" t="s">
        <v>15</v>
      </c>
      <c r="I213" s="8" t="s">
        <v>1299</v>
      </c>
      <c r="J213" s="8" t="s">
        <v>1300</v>
      </c>
    </row>
    <row r="214" customFormat="false" ht="23.85" hidden="false" customHeight="false" outlineLevel="0" collapsed="false">
      <c r="A214" s="8" t="s">
        <v>1301</v>
      </c>
      <c r="B214" s="8" t="s">
        <v>1294</v>
      </c>
      <c r="C214" s="9" t="n">
        <v>4</v>
      </c>
      <c r="D214" s="11" t="s">
        <v>1302</v>
      </c>
      <c r="E214" s="8" t="s">
        <v>1303</v>
      </c>
      <c r="F214" s="8" t="s">
        <v>1304</v>
      </c>
      <c r="G214" s="8" t="s">
        <v>1305</v>
      </c>
      <c r="H214" s="8" t="s">
        <v>15</v>
      </c>
      <c r="I214" s="8"/>
      <c r="J214" s="8" t="s">
        <v>1306</v>
      </c>
    </row>
    <row r="215" customFormat="false" ht="15" hidden="false" customHeight="false" outlineLevel="0" collapsed="false">
      <c r="A215" s="8" t="s">
        <v>1307</v>
      </c>
      <c r="B215" s="8" t="s">
        <v>1294</v>
      </c>
      <c r="C215" s="9" t="n">
        <v>4</v>
      </c>
      <c r="D215" s="11" t="s">
        <v>1308</v>
      </c>
      <c r="E215" s="8" t="s">
        <v>1309</v>
      </c>
      <c r="F215" s="8" t="s">
        <v>1310</v>
      </c>
      <c r="G215" s="8" t="s">
        <v>1311</v>
      </c>
      <c r="H215" s="8" t="s">
        <v>15</v>
      </c>
      <c r="I215" s="8"/>
      <c r="J215" s="8" t="s">
        <v>1312</v>
      </c>
    </row>
    <row r="216" customFormat="false" ht="15" hidden="false" customHeight="false" outlineLevel="0" collapsed="false">
      <c r="A216" s="8" t="s">
        <v>1313</v>
      </c>
      <c r="B216" s="8" t="s">
        <v>1294</v>
      </c>
      <c r="C216" s="9" t="n">
        <v>4</v>
      </c>
      <c r="D216" s="11" t="s">
        <v>1314</v>
      </c>
      <c r="E216" s="8"/>
      <c r="F216" s="8" t="s">
        <v>1315</v>
      </c>
      <c r="G216" s="8" t="s">
        <v>1316</v>
      </c>
      <c r="H216" s="8" t="s">
        <v>15</v>
      </c>
      <c r="I216" s="8"/>
      <c r="J216" s="8" t="s">
        <v>1317</v>
      </c>
    </row>
    <row r="217" customFormat="false" ht="15" hidden="false" customHeight="false" outlineLevel="0" collapsed="false">
      <c r="A217" s="8" t="s">
        <v>1318</v>
      </c>
      <c r="B217" s="8" t="s">
        <v>1294</v>
      </c>
      <c r="C217" s="9" t="n">
        <v>4</v>
      </c>
      <c r="D217" s="11" t="s">
        <v>1319</v>
      </c>
      <c r="E217" s="8" t="s">
        <v>1320</v>
      </c>
      <c r="F217" s="8" t="s">
        <v>1321</v>
      </c>
      <c r="G217" s="8" t="s">
        <v>1322</v>
      </c>
      <c r="H217" s="8" t="s">
        <v>15</v>
      </c>
      <c r="I217" s="8" t="s">
        <v>1323</v>
      </c>
      <c r="J217" s="8" t="s">
        <v>1324</v>
      </c>
    </row>
    <row r="218" customFormat="false" ht="23.85" hidden="false" customHeight="false" outlineLevel="0" collapsed="false">
      <c r="A218" s="8" t="s">
        <v>1325</v>
      </c>
      <c r="B218" s="8" t="s">
        <v>1287</v>
      </c>
      <c r="C218" s="9" t="n">
        <v>3</v>
      </c>
      <c r="D218" s="10" t="s">
        <v>1326</v>
      </c>
      <c r="E218" s="8" t="s">
        <v>1327</v>
      </c>
      <c r="F218" s="8" t="s">
        <v>1328</v>
      </c>
      <c r="G218" s="8" t="s">
        <v>1329</v>
      </c>
      <c r="H218" s="8" t="s">
        <v>15</v>
      </c>
      <c r="I218" s="8"/>
      <c r="J218" s="8" t="s">
        <v>1330</v>
      </c>
    </row>
    <row r="219" customFormat="false" ht="15" hidden="false" customHeight="false" outlineLevel="0" collapsed="false">
      <c r="A219" s="8" t="s">
        <v>1331</v>
      </c>
      <c r="B219" s="8" t="s">
        <v>1325</v>
      </c>
      <c r="C219" s="9" t="n">
        <v>4</v>
      </c>
      <c r="D219" s="11" t="s">
        <v>1332</v>
      </c>
      <c r="E219" s="8"/>
      <c r="F219" s="8" t="s">
        <v>1333</v>
      </c>
      <c r="G219" s="8" t="s">
        <v>1334</v>
      </c>
      <c r="H219" s="8" t="s">
        <v>15</v>
      </c>
      <c r="I219" s="8"/>
      <c r="J219" s="8" t="s">
        <v>1335</v>
      </c>
    </row>
    <row r="220" customFormat="false" ht="23.85" hidden="false" customHeight="false" outlineLevel="0" collapsed="false">
      <c r="A220" s="8" t="s">
        <v>1336</v>
      </c>
      <c r="B220" s="8" t="s">
        <v>1325</v>
      </c>
      <c r="C220" s="9" t="n">
        <v>4</v>
      </c>
      <c r="D220" s="11" t="s">
        <v>1337</v>
      </c>
      <c r="E220" s="8" t="s">
        <v>1338</v>
      </c>
      <c r="F220" s="8" t="s">
        <v>1339</v>
      </c>
      <c r="G220" s="8" t="s">
        <v>1340</v>
      </c>
      <c r="H220" s="8" t="s">
        <v>15</v>
      </c>
      <c r="I220" s="8"/>
      <c r="J220" s="8" t="s">
        <v>1341</v>
      </c>
    </row>
    <row r="221" customFormat="false" ht="23.85" hidden="false" customHeight="false" outlineLevel="0" collapsed="false">
      <c r="A221" s="8" t="s">
        <v>1342</v>
      </c>
      <c r="B221" s="8" t="s">
        <v>1325</v>
      </c>
      <c r="C221" s="9" t="n">
        <v>4</v>
      </c>
      <c r="D221" s="11" t="s">
        <v>1343</v>
      </c>
      <c r="E221" s="8" t="s">
        <v>1344</v>
      </c>
      <c r="F221" s="8" t="s">
        <v>1345</v>
      </c>
      <c r="G221" s="8" t="s">
        <v>1346</v>
      </c>
      <c r="H221" s="8" t="s">
        <v>15</v>
      </c>
      <c r="I221" s="8" t="s">
        <v>1347</v>
      </c>
      <c r="J221" s="8" t="s">
        <v>1348</v>
      </c>
    </row>
    <row r="222" customFormat="false" ht="15" hidden="false" customHeight="false" outlineLevel="0" collapsed="false">
      <c r="A222" s="8" t="s">
        <v>1349</v>
      </c>
      <c r="B222" s="8" t="s">
        <v>1287</v>
      </c>
      <c r="C222" s="9" t="n">
        <v>3</v>
      </c>
      <c r="D222" s="10" t="s">
        <v>1350</v>
      </c>
      <c r="E222" s="8"/>
      <c r="F222" s="8" t="s">
        <v>1351</v>
      </c>
      <c r="G222" s="8" t="s">
        <v>1352</v>
      </c>
      <c r="H222" s="8" t="s">
        <v>15</v>
      </c>
      <c r="I222" s="8"/>
      <c r="J222" s="8" t="s">
        <v>1353</v>
      </c>
    </row>
    <row r="223" customFormat="false" ht="23.85" hidden="false" customHeight="false" outlineLevel="0" collapsed="false">
      <c r="A223" s="8" t="s">
        <v>1354</v>
      </c>
      <c r="B223" s="8" t="s">
        <v>1349</v>
      </c>
      <c r="C223" s="9" t="n">
        <v>4</v>
      </c>
      <c r="D223" s="11" t="s">
        <v>1355</v>
      </c>
      <c r="E223" s="8" t="s">
        <v>1356</v>
      </c>
      <c r="F223" s="8" t="s">
        <v>1357</v>
      </c>
      <c r="G223" s="8" t="s">
        <v>1358</v>
      </c>
      <c r="H223" s="8" t="s">
        <v>15</v>
      </c>
      <c r="I223" s="8" t="s">
        <v>1359</v>
      </c>
      <c r="J223" s="8" t="s">
        <v>1360</v>
      </c>
    </row>
    <row r="224" customFormat="false" ht="23.85" hidden="false" customHeight="false" outlineLevel="0" collapsed="false">
      <c r="A224" s="8" t="s">
        <v>1361</v>
      </c>
      <c r="B224" s="8" t="s">
        <v>1349</v>
      </c>
      <c r="C224" s="9" t="n">
        <v>4</v>
      </c>
      <c r="D224" s="11" t="s">
        <v>1362</v>
      </c>
      <c r="E224" s="8"/>
      <c r="F224" s="8" t="s">
        <v>1363</v>
      </c>
      <c r="G224" s="8" t="s">
        <v>1364</v>
      </c>
      <c r="H224" s="8" t="s">
        <v>15</v>
      </c>
      <c r="I224" s="8" t="s">
        <v>1365</v>
      </c>
      <c r="J224" s="8" t="s">
        <v>1366</v>
      </c>
    </row>
    <row r="225" customFormat="false" ht="23.85" hidden="false" customHeight="false" outlineLevel="0" collapsed="false">
      <c r="A225" s="8" t="s">
        <v>1367</v>
      </c>
      <c r="B225" s="8" t="s">
        <v>1349</v>
      </c>
      <c r="C225" s="9" t="n">
        <v>4</v>
      </c>
      <c r="D225" s="11" t="s">
        <v>1368</v>
      </c>
      <c r="E225" s="8"/>
      <c r="F225" s="8" t="s">
        <v>1369</v>
      </c>
      <c r="G225" s="8" t="s">
        <v>1370</v>
      </c>
      <c r="H225" s="8" t="s">
        <v>15</v>
      </c>
      <c r="I225" s="8" t="s">
        <v>1371</v>
      </c>
      <c r="J225" s="8" t="s">
        <v>1372</v>
      </c>
    </row>
    <row r="226" customFormat="false" ht="15" hidden="false" customHeight="false" outlineLevel="0" collapsed="false">
      <c r="A226" s="8" t="s">
        <v>1373</v>
      </c>
      <c r="B226" s="8" t="s">
        <v>1287</v>
      </c>
      <c r="C226" s="9" t="n">
        <v>3</v>
      </c>
      <c r="D226" s="10" t="s">
        <v>1374</v>
      </c>
      <c r="E226" s="8" t="s">
        <v>1375</v>
      </c>
      <c r="F226" s="8" t="s">
        <v>1376</v>
      </c>
      <c r="G226" s="8" t="s">
        <v>1377</v>
      </c>
      <c r="H226" s="8" t="s">
        <v>15</v>
      </c>
      <c r="I226" s="8"/>
      <c r="J226" s="8" t="s">
        <v>1378</v>
      </c>
    </row>
    <row r="227" customFormat="false" ht="23.85" hidden="false" customHeight="false" outlineLevel="0" collapsed="false">
      <c r="A227" s="8" t="s">
        <v>1379</v>
      </c>
      <c r="B227" s="8" t="s">
        <v>1373</v>
      </c>
      <c r="C227" s="9" t="n">
        <v>4</v>
      </c>
      <c r="D227" s="11" t="s">
        <v>1380</v>
      </c>
      <c r="E227" s="8" t="s">
        <v>1381</v>
      </c>
      <c r="F227" s="8" t="s">
        <v>1382</v>
      </c>
      <c r="G227" s="8" t="s">
        <v>1383</v>
      </c>
      <c r="H227" s="8" t="s">
        <v>15</v>
      </c>
      <c r="I227" s="8" t="s">
        <v>1384</v>
      </c>
      <c r="J227" s="8" t="s">
        <v>1385</v>
      </c>
    </row>
    <row r="228" customFormat="false" ht="23.85" hidden="false" customHeight="false" outlineLevel="0" collapsed="false">
      <c r="A228" s="8" t="s">
        <v>1386</v>
      </c>
      <c r="B228" s="8" t="s">
        <v>1373</v>
      </c>
      <c r="C228" s="9" t="n">
        <v>4</v>
      </c>
      <c r="D228" s="11" t="s">
        <v>1387</v>
      </c>
      <c r="E228" s="8"/>
      <c r="F228" s="8" t="s">
        <v>1388</v>
      </c>
      <c r="G228" s="8" t="s">
        <v>1389</v>
      </c>
      <c r="H228" s="8" t="s">
        <v>15</v>
      </c>
      <c r="I228" s="8"/>
      <c r="J228" s="8" t="s">
        <v>1390</v>
      </c>
    </row>
    <row r="229" customFormat="false" ht="15" hidden="false" customHeight="false" outlineLevel="0" collapsed="false">
      <c r="A229" s="8" t="s">
        <v>1391</v>
      </c>
      <c r="B229" s="8" t="s">
        <v>1373</v>
      </c>
      <c r="C229" s="9" t="n">
        <v>4</v>
      </c>
      <c r="D229" s="11" t="s">
        <v>1392</v>
      </c>
      <c r="E229" s="8" t="s">
        <v>1393</v>
      </c>
      <c r="F229" s="8" t="s">
        <v>1394</v>
      </c>
      <c r="G229" s="8" t="s">
        <v>1395</v>
      </c>
      <c r="H229" s="8" t="s">
        <v>15</v>
      </c>
      <c r="I229" s="8"/>
      <c r="J229" s="8" t="s">
        <v>1396</v>
      </c>
    </row>
    <row r="230" customFormat="false" ht="15" hidden="false" customHeight="false" outlineLevel="0" collapsed="false">
      <c r="A230" s="8" t="s">
        <v>1397</v>
      </c>
      <c r="B230" s="8" t="s">
        <v>1373</v>
      </c>
      <c r="C230" s="9" t="n">
        <v>4</v>
      </c>
      <c r="D230" s="11" t="s">
        <v>1398</v>
      </c>
      <c r="E230" s="8" t="s">
        <v>1399</v>
      </c>
      <c r="F230" s="8" t="s">
        <v>1400</v>
      </c>
      <c r="G230" s="8" t="s">
        <v>1401</v>
      </c>
      <c r="H230" s="8" t="s">
        <v>15</v>
      </c>
      <c r="I230" s="8"/>
      <c r="J230" s="8" t="s">
        <v>1402</v>
      </c>
    </row>
    <row r="231" customFormat="false" ht="15" hidden="false" customHeight="false" outlineLevel="0" collapsed="false">
      <c r="A231" s="8" t="s">
        <v>1403</v>
      </c>
      <c r="B231" s="8" t="s">
        <v>1373</v>
      </c>
      <c r="C231" s="9" t="n">
        <v>4</v>
      </c>
      <c r="D231" s="11" t="s">
        <v>1404</v>
      </c>
      <c r="E231" s="8"/>
      <c r="F231" s="8" t="s">
        <v>1405</v>
      </c>
      <c r="G231" s="8" t="s">
        <v>1406</v>
      </c>
      <c r="H231" s="8" t="s">
        <v>15</v>
      </c>
      <c r="I231" s="8" t="s">
        <v>1407</v>
      </c>
      <c r="J231" s="8" t="s">
        <v>1408</v>
      </c>
    </row>
    <row r="232" customFormat="false" ht="15" hidden="false" customHeight="false" outlineLevel="0" collapsed="false">
      <c r="A232" s="8" t="s">
        <v>1409</v>
      </c>
      <c r="B232" s="8" t="s">
        <v>1373</v>
      </c>
      <c r="C232" s="9" t="n">
        <v>4</v>
      </c>
      <c r="D232" s="11" t="s">
        <v>1410</v>
      </c>
      <c r="E232" s="8" t="s">
        <v>1411</v>
      </c>
      <c r="F232" s="8" t="s">
        <v>1412</v>
      </c>
      <c r="G232" s="8" t="s">
        <v>1413</v>
      </c>
      <c r="H232" s="8" t="s">
        <v>15</v>
      </c>
      <c r="I232" s="8"/>
      <c r="J232" s="8" t="s">
        <v>1414</v>
      </c>
    </row>
    <row r="233" customFormat="false" ht="23.85" hidden="false" customHeight="false" outlineLevel="0" collapsed="false">
      <c r="A233" s="8" t="s">
        <v>1415</v>
      </c>
      <c r="B233" s="8" t="s">
        <v>1373</v>
      </c>
      <c r="C233" s="9" t="n">
        <v>4</v>
      </c>
      <c r="D233" s="11" t="s">
        <v>1416</v>
      </c>
      <c r="E233" s="8" t="s">
        <v>1417</v>
      </c>
      <c r="F233" s="8" t="s">
        <v>1418</v>
      </c>
      <c r="G233" s="8" t="s">
        <v>1419</v>
      </c>
      <c r="H233" s="8" t="s">
        <v>15</v>
      </c>
      <c r="I233" s="8" t="s">
        <v>1420</v>
      </c>
      <c r="J233" s="8" t="s">
        <v>1421</v>
      </c>
    </row>
    <row r="234" customFormat="false" ht="23.85" hidden="false" customHeight="false" outlineLevel="0" collapsed="false">
      <c r="A234" s="8" t="s">
        <v>1422</v>
      </c>
      <c r="B234" s="8" t="s">
        <v>1287</v>
      </c>
      <c r="C234" s="9" t="n">
        <v>3</v>
      </c>
      <c r="D234" s="10" t="s">
        <v>1423</v>
      </c>
      <c r="E234" s="8" t="s">
        <v>1424</v>
      </c>
      <c r="F234" s="8" t="s">
        <v>1425</v>
      </c>
      <c r="G234" s="8" t="s">
        <v>1426</v>
      </c>
      <c r="H234" s="8" t="s">
        <v>15</v>
      </c>
      <c r="I234" s="8" t="s">
        <v>1427</v>
      </c>
      <c r="J234" s="8" t="s">
        <v>1428</v>
      </c>
    </row>
    <row r="235" customFormat="false" ht="23.85" hidden="false" customHeight="false" outlineLevel="0" collapsed="false">
      <c r="A235" s="8" t="s">
        <v>1429</v>
      </c>
      <c r="B235" s="8" t="s">
        <v>1287</v>
      </c>
      <c r="C235" s="9" t="n">
        <v>3</v>
      </c>
      <c r="D235" s="10" t="s">
        <v>1430</v>
      </c>
      <c r="E235" s="8" t="s">
        <v>1431</v>
      </c>
      <c r="F235" s="8" t="s">
        <v>1432</v>
      </c>
      <c r="G235" s="8" t="s">
        <v>1433</v>
      </c>
      <c r="H235" s="8" t="s">
        <v>15</v>
      </c>
      <c r="I235" s="8" t="s">
        <v>1434</v>
      </c>
      <c r="J235" s="8" t="s">
        <v>1435</v>
      </c>
    </row>
    <row r="236" customFormat="false" ht="15" hidden="false" customHeight="false" outlineLevel="0" collapsed="false">
      <c r="A236" s="8" t="s">
        <v>1436</v>
      </c>
      <c r="B236" s="8" t="s">
        <v>1287</v>
      </c>
      <c r="C236" s="9" t="n">
        <v>3</v>
      </c>
      <c r="D236" s="10" t="s">
        <v>1437</v>
      </c>
      <c r="E236" s="8"/>
      <c r="F236" s="8" t="s">
        <v>1438</v>
      </c>
      <c r="G236" s="8" t="s">
        <v>1439</v>
      </c>
      <c r="H236" s="8" t="s">
        <v>15</v>
      </c>
      <c r="I236" s="8" t="s">
        <v>1440</v>
      </c>
      <c r="J236" s="8" t="s">
        <v>1441</v>
      </c>
    </row>
    <row r="237" customFormat="false" ht="15" hidden="false" customHeight="false" outlineLevel="0" collapsed="false">
      <c r="A237" s="8" t="s">
        <v>1442</v>
      </c>
      <c r="B237" s="8" t="s">
        <v>1287</v>
      </c>
      <c r="C237" s="9" t="n">
        <v>3</v>
      </c>
      <c r="D237" s="10" t="s">
        <v>1443</v>
      </c>
      <c r="E237" s="8" t="s">
        <v>1444</v>
      </c>
      <c r="F237" s="8" t="s">
        <v>1445</v>
      </c>
      <c r="G237" s="8" t="s">
        <v>1446</v>
      </c>
      <c r="H237" s="8" t="s">
        <v>15</v>
      </c>
      <c r="I237" s="8" t="s">
        <v>1447</v>
      </c>
      <c r="J237" s="8" t="s">
        <v>1448</v>
      </c>
    </row>
    <row r="238" customFormat="false" ht="23.85" hidden="false" customHeight="false" outlineLevel="0" collapsed="false">
      <c r="A238" s="5" t="s">
        <v>1449</v>
      </c>
      <c r="B238" s="5" t="s">
        <v>1281</v>
      </c>
      <c r="C238" s="6" t="n">
        <v>2</v>
      </c>
      <c r="D238" s="7" t="s">
        <v>1450</v>
      </c>
      <c r="E238" s="5"/>
      <c r="F238" s="5" t="s">
        <v>1451</v>
      </c>
      <c r="G238" s="5" t="s">
        <v>1452</v>
      </c>
      <c r="H238" s="5" t="s">
        <v>15</v>
      </c>
      <c r="I238" s="5" t="s">
        <v>1453</v>
      </c>
      <c r="J238" s="5" t="s">
        <v>1454</v>
      </c>
    </row>
    <row r="239" customFormat="false" ht="15" hidden="false" customHeight="false" outlineLevel="0" collapsed="false">
      <c r="A239" s="5" t="s">
        <v>1455</v>
      </c>
      <c r="B239" s="5" t="s">
        <v>1281</v>
      </c>
      <c r="C239" s="6" t="n">
        <v>2</v>
      </c>
      <c r="D239" s="7" t="s">
        <v>1456</v>
      </c>
      <c r="E239" s="5"/>
      <c r="F239" s="5" t="s">
        <v>1457</v>
      </c>
      <c r="G239" s="5" t="s">
        <v>1458</v>
      </c>
      <c r="H239" s="5" t="s">
        <v>15</v>
      </c>
      <c r="I239" s="5"/>
      <c r="J239" s="5" t="s">
        <v>1459</v>
      </c>
    </row>
    <row r="240" customFormat="false" ht="15" hidden="false" customHeight="false" outlineLevel="0" collapsed="false">
      <c r="A240" s="8" t="s">
        <v>1460</v>
      </c>
      <c r="B240" s="8" t="s">
        <v>1455</v>
      </c>
      <c r="C240" s="9" t="n">
        <v>3</v>
      </c>
      <c r="D240" s="10" t="s">
        <v>1461</v>
      </c>
      <c r="E240" s="8"/>
      <c r="F240" s="8" t="s">
        <v>1462</v>
      </c>
      <c r="G240" s="8" t="s">
        <v>1463</v>
      </c>
      <c r="H240" s="8" t="s">
        <v>15</v>
      </c>
      <c r="I240" s="8"/>
      <c r="J240" s="8" t="s">
        <v>1464</v>
      </c>
    </row>
    <row r="241" customFormat="false" ht="15" hidden="false" customHeight="false" outlineLevel="0" collapsed="false">
      <c r="A241" s="8" t="s">
        <v>1465</v>
      </c>
      <c r="B241" s="8" t="s">
        <v>1455</v>
      </c>
      <c r="C241" s="9" t="n">
        <v>3</v>
      </c>
      <c r="D241" s="10" t="s">
        <v>1466</v>
      </c>
      <c r="E241" s="8"/>
      <c r="F241" s="8" t="s">
        <v>1467</v>
      </c>
      <c r="G241" s="8" t="s">
        <v>1468</v>
      </c>
      <c r="H241" s="8" t="s">
        <v>15</v>
      </c>
      <c r="I241" s="8"/>
      <c r="J241" s="8" t="s">
        <v>1469</v>
      </c>
    </row>
    <row r="242" customFormat="false" ht="15" hidden="false" customHeight="false" outlineLevel="0" collapsed="false">
      <c r="A242" s="8" t="s">
        <v>1470</v>
      </c>
      <c r="B242" s="8" t="s">
        <v>1455</v>
      </c>
      <c r="C242" s="9" t="n">
        <v>3</v>
      </c>
      <c r="D242" s="10" t="s">
        <v>1471</v>
      </c>
      <c r="E242" s="8"/>
      <c r="F242" s="8" t="s">
        <v>1472</v>
      </c>
      <c r="G242" s="8" t="s">
        <v>1473</v>
      </c>
      <c r="H242" s="8" t="s">
        <v>15</v>
      </c>
      <c r="I242" s="8"/>
      <c r="J242" s="8" t="s">
        <v>1474</v>
      </c>
    </row>
    <row r="243" customFormat="false" ht="23.85" hidden="false" customHeight="false" outlineLevel="0" collapsed="false">
      <c r="A243" s="5" t="s">
        <v>1475</v>
      </c>
      <c r="B243" s="5" t="s">
        <v>1281</v>
      </c>
      <c r="C243" s="6" t="n">
        <v>2</v>
      </c>
      <c r="D243" s="7" t="s">
        <v>1476</v>
      </c>
      <c r="E243" s="5" t="s">
        <v>1477</v>
      </c>
      <c r="F243" s="5" t="s">
        <v>1478</v>
      </c>
      <c r="G243" s="5" t="s">
        <v>1479</v>
      </c>
      <c r="H243" s="5" t="s">
        <v>258</v>
      </c>
      <c r="I243" s="5" t="s">
        <v>1480</v>
      </c>
      <c r="J243" s="5" t="s">
        <v>1481</v>
      </c>
    </row>
    <row r="244" customFormat="false" ht="15" hidden="false" customHeight="false" outlineLevel="0" collapsed="false">
      <c r="A244" s="8" t="s">
        <v>1482</v>
      </c>
      <c r="B244" s="8" t="s">
        <v>1475</v>
      </c>
      <c r="C244" s="9" t="n">
        <v>3</v>
      </c>
      <c r="D244" s="10" t="s">
        <v>1483</v>
      </c>
      <c r="E244" s="8"/>
      <c r="F244" s="8" t="s">
        <v>1484</v>
      </c>
      <c r="G244" s="8" t="s">
        <v>1485</v>
      </c>
      <c r="H244" s="8" t="s">
        <v>258</v>
      </c>
      <c r="I244" s="8" t="s">
        <v>1486</v>
      </c>
      <c r="J244" s="8" t="s">
        <v>1487</v>
      </c>
    </row>
    <row r="245" customFormat="false" ht="15" hidden="false" customHeight="false" outlineLevel="0" collapsed="false">
      <c r="A245" s="8" t="s">
        <v>1488</v>
      </c>
      <c r="B245" s="8" t="s">
        <v>1475</v>
      </c>
      <c r="C245" s="9" t="n">
        <v>3</v>
      </c>
      <c r="D245" s="10" t="s">
        <v>1489</v>
      </c>
      <c r="E245" s="8"/>
      <c r="F245" s="8" t="s">
        <v>1490</v>
      </c>
      <c r="G245" s="8" t="s">
        <v>1491</v>
      </c>
      <c r="H245" s="8" t="s">
        <v>258</v>
      </c>
      <c r="I245" s="8"/>
      <c r="J245" s="8" t="s">
        <v>1492</v>
      </c>
    </row>
    <row r="246" customFormat="false" ht="23.85" hidden="false" customHeight="false" outlineLevel="0" collapsed="false">
      <c r="A246" s="8" t="s">
        <v>1493</v>
      </c>
      <c r="B246" s="8" t="s">
        <v>1475</v>
      </c>
      <c r="C246" s="9" t="n">
        <v>3</v>
      </c>
      <c r="D246" s="10" t="s">
        <v>1494</v>
      </c>
      <c r="E246" s="8" t="s">
        <v>1495</v>
      </c>
      <c r="F246" s="8" t="s">
        <v>1496</v>
      </c>
      <c r="G246" s="8" t="s">
        <v>1497</v>
      </c>
      <c r="H246" s="8" t="s">
        <v>258</v>
      </c>
      <c r="I246" s="8" t="s">
        <v>1498</v>
      </c>
      <c r="J246" s="8" t="s">
        <v>1499</v>
      </c>
    </row>
    <row r="247" customFormat="false" ht="15" hidden="false" customHeight="false" outlineLevel="0" collapsed="false">
      <c r="A247" s="8" t="s">
        <v>1500</v>
      </c>
      <c r="B247" s="8" t="s">
        <v>1493</v>
      </c>
      <c r="C247" s="9" t="n">
        <v>4</v>
      </c>
      <c r="D247" s="11" t="s">
        <v>1501</v>
      </c>
      <c r="E247" s="8"/>
      <c r="F247" s="8" t="s">
        <v>1502</v>
      </c>
      <c r="G247" s="8" t="s">
        <v>1503</v>
      </c>
      <c r="H247" s="8" t="s">
        <v>258</v>
      </c>
      <c r="I247" s="8"/>
      <c r="J247" s="8" t="s">
        <v>1504</v>
      </c>
    </row>
    <row r="248" customFormat="false" ht="15" hidden="false" customHeight="false" outlineLevel="0" collapsed="false">
      <c r="A248" s="8" t="s">
        <v>1505</v>
      </c>
      <c r="B248" s="8" t="s">
        <v>1493</v>
      </c>
      <c r="C248" s="9" t="n">
        <v>4</v>
      </c>
      <c r="D248" s="11" t="s">
        <v>1506</v>
      </c>
      <c r="E248" s="8"/>
      <c r="F248" s="8" t="s">
        <v>1507</v>
      </c>
      <c r="G248" s="8" t="s">
        <v>1508</v>
      </c>
      <c r="H248" s="8" t="s">
        <v>258</v>
      </c>
      <c r="I248" s="8"/>
      <c r="J248" s="8" t="s">
        <v>1509</v>
      </c>
    </row>
    <row r="249" customFormat="false" ht="15" hidden="false" customHeight="false" outlineLevel="0" collapsed="false">
      <c r="A249" s="8" t="s">
        <v>1510</v>
      </c>
      <c r="B249" s="8" t="s">
        <v>1493</v>
      </c>
      <c r="C249" s="9" t="n">
        <v>4</v>
      </c>
      <c r="D249" s="11" t="s">
        <v>1511</v>
      </c>
      <c r="E249" s="8"/>
      <c r="F249" s="8" t="s">
        <v>1512</v>
      </c>
      <c r="G249" s="8" t="s">
        <v>1513</v>
      </c>
      <c r="H249" s="8" t="s">
        <v>258</v>
      </c>
      <c r="I249" s="8"/>
      <c r="J249" s="8" t="s">
        <v>1514</v>
      </c>
    </row>
    <row r="250" customFormat="false" ht="15" hidden="false" customHeight="false" outlineLevel="0" collapsed="false">
      <c r="A250" s="8" t="s">
        <v>1515</v>
      </c>
      <c r="B250" s="8" t="s">
        <v>1493</v>
      </c>
      <c r="C250" s="9" t="n">
        <v>4</v>
      </c>
      <c r="D250" s="11" t="s">
        <v>1516</v>
      </c>
      <c r="E250" s="8"/>
      <c r="F250" s="8" t="s">
        <v>1517</v>
      </c>
      <c r="G250" s="8" t="s">
        <v>1518</v>
      </c>
      <c r="H250" s="8" t="s">
        <v>258</v>
      </c>
      <c r="I250" s="8"/>
      <c r="J250" s="8" t="s">
        <v>1519</v>
      </c>
    </row>
    <row r="251" customFormat="false" ht="23.85" hidden="false" customHeight="false" outlineLevel="0" collapsed="false">
      <c r="A251" s="8" t="s">
        <v>1520</v>
      </c>
      <c r="B251" s="8" t="s">
        <v>1475</v>
      </c>
      <c r="C251" s="9" t="n">
        <v>3</v>
      </c>
      <c r="D251" s="10" t="s">
        <v>1521</v>
      </c>
      <c r="E251" s="8" t="s">
        <v>1522</v>
      </c>
      <c r="F251" s="8" t="s">
        <v>1523</v>
      </c>
      <c r="G251" s="8" t="s">
        <v>1524</v>
      </c>
      <c r="H251" s="8" t="s">
        <v>258</v>
      </c>
      <c r="I251" s="8"/>
      <c r="J251" s="8" t="s">
        <v>1525</v>
      </c>
    </row>
    <row r="252" customFormat="false" ht="15" hidden="false" customHeight="false" outlineLevel="0" collapsed="false">
      <c r="A252" s="8" t="s">
        <v>1526</v>
      </c>
      <c r="B252" s="8" t="s">
        <v>1520</v>
      </c>
      <c r="C252" s="9" t="n">
        <v>4</v>
      </c>
      <c r="D252" s="11" t="s">
        <v>1527</v>
      </c>
      <c r="E252" s="8"/>
      <c r="F252" s="8" t="s">
        <v>1528</v>
      </c>
      <c r="G252" s="8" t="s">
        <v>1529</v>
      </c>
      <c r="H252" s="8" t="s">
        <v>258</v>
      </c>
      <c r="I252" s="8"/>
      <c r="J252" s="8" t="s">
        <v>1530</v>
      </c>
    </row>
    <row r="253" customFormat="false" ht="15" hidden="false" customHeight="false" outlineLevel="0" collapsed="false">
      <c r="A253" s="8" t="s">
        <v>1531</v>
      </c>
      <c r="B253" s="8" t="s">
        <v>1520</v>
      </c>
      <c r="C253" s="9" t="n">
        <v>4</v>
      </c>
      <c r="D253" s="11" t="s">
        <v>1532</v>
      </c>
      <c r="E253" s="8" t="s">
        <v>1533</v>
      </c>
      <c r="F253" s="8" t="s">
        <v>1534</v>
      </c>
      <c r="G253" s="8" t="s">
        <v>1535</v>
      </c>
      <c r="H253" s="8" t="s">
        <v>258</v>
      </c>
      <c r="I253" s="8"/>
      <c r="J253" s="8" t="s">
        <v>1536</v>
      </c>
    </row>
    <row r="254" customFormat="false" ht="15" hidden="false" customHeight="false" outlineLevel="0" collapsed="false">
      <c r="A254" s="8" t="s">
        <v>1537</v>
      </c>
      <c r="B254" s="8" t="s">
        <v>1475</v>
      </c>
      <c r="C254" s="9" t="n">
        <v>3</v>
      </c>
      <c r="D254" s="10" t="s">
        <v>1538</v>
      </c>
      <c r="E254" s="8" t="s">
        <v>1539</v>
      </c>
      <c r="F254" s="8" t="s">
        <v>1540</v>
      </c>
      <c r="G254" s="8" t="s">
        <v>1541</v>
      </c>
      <c r="H254" s="8" t="s">
        <v>258</v>
      </c>
      <c r="I254" s="8" t="s">
        <v>1542</v>
      </c>
      <c r="J254" s="8" t="s">
        <v>1543</v>
      </c>
    </row>
    <row r="255" customFormat="false" ht="23.85" hidden="false" customHeight="false" outlineLevel="0" collapsed="false">
      <c r="A255" s="8" t="s">
        <v>1544</v>
      </c>
      <c r="B255" s="8" t="s">
        <v>1475</v>
      </c>
      <c r="C255" s="9" t="n">
        <v>3</v>
      </c>
      <c r="D255" s="10" t="s">
        <v>1545</v>
      </c>
      <c r="E255" s="8"/>
      <c r="F255" s="8" t="s">
        <v>1546</v>
      </c>
      <c r="G255" s="8" t="s">
        <v>1547</v>
      </c>
      <c r="H255" s="8" t="s">
        <v>258</v>
      </c>
      <c r="I255" s="8" t="s">
        <v>1548</v>
      </c>
      <c r="J255" s="8" t="s">
        <v>1549</v>
      </c>
    </row>
    <row r="256" customFormat="false" ht="35.05" hidden="false" customHeight="false" outlineLevel="0" collapsed="false">
      <c r="A256" s="2" t="s">
        <v>1550</v>
      </c>
      <c r="B256" s="2"/>
      <c r="C256" s="3" t="n">
        <v>1</v>
      </c>
      <c r="D256" s="4" t="s">
        <v>1551</v>
      </c>
      <c r="E256" s="2" t="s">
        <v>1552</v>
      </c>
      <c r="F256" s="2" t="s">
        <v>1553</v>
      </c>
      <c r="G256" s="2" t="s">
        <v>1554</v>
      </c>
      <c r="H256" s="2" t="s">
        <v>258</v>
      </c>
      <c r="I256" s="2" t="s">
        <v>1555</v>
      </c>
      <c r="J256" s="2" t="s">
        <v>1551</v>
      </c>
    </row>
    <row r="257" customFormat="false" ht="15" hidden="false" customHeight="false" outlineLevel="0" collapsed="false">
      <c r="A257" s="5" t="s">
        <v>1556</v>
      </c>
      <c r="B257" s="5" t="s">
        <v>1550</v>
      </c>
      <c r="C257" s="6" t="n">
        <v>2</v>
      </c>
      <c r="D257" s="7" t="s">
        <v>1557</v>
      </c>
      <c r="E257" s="5"/>
      <c r="F257" s="5" t="s">
        <v>1558</v>
      </c>
      <c r="G257" s="5" t="s">
        <v>1559</v>
      </c>
      <c r="H257" s="5" t="s">
        <v>258</v>
      </c>
      <c r="I257" s="5"/>
      <c r="J257" s="5" t="s">
        <v>1560</v>
      </c>
    </row>
    <row r="258" customFormat="false" ht="23.85" hidden="false" customHeight="false" outlineLevel="0" collapsed="false">
      <c r="A258" s="8" t="s">
        <v>1561</v>
      </c>
      <c r="B258" s="8" t="s">
        <v>1556</v>
      </c>
      <c r="C258" s="9" t="n">
        <v>3</v>
      </c>
      <c r="D258" s="10" t="s">
        <v>1562</v>
      </c>
      <c r="E258" s="8"/>
      <c r="F258" s="8" t="s">
        <v>1563</v>
      </c>
      <c r="G258" s="8" t="s">
        <v>1564</v>
      </c>
      <c r="H258" s="8" t="s">
        <v>258</v>
      </c>
      <c r="I258" s="8" t="s">
        <v>1565</v>
      </c>
      <c r="J258" s="8" t="s">
        <v>1566</v>
      </c>
    </row>
    <row r="259" customFormat="false" ht="23.85" hidden="false" customHeight="false" outlineLevel="0" collapsed="false">
      <c r="A259" s="8" t="s">
        <v>1567</v>
      </c>
      <c r="B259" s="8" t="s">
        <v>1556</v>
      </c>
      <c r="C259" s="9" t="n">
        <v>3</v>
      </c>
      <c r="D259" s="10" t="s">
        <v>1568</v>
      </c>
      <c r="E259" s="8" t="s">
        <v>1569</v>
      </c>
      <c r="F259" s="8" t="s">
        <v>1570</v>
      </c>
      <c r="G259" s="8" t="s">
        <v>1571</v>
      </c>
      <c r="H259" s="8" t="s">
        <v>258</v>
      </c>
      <c r="I259" s="8" t="s">
        <v>1572</v>
      </c>
      <c r="J259" s="8" t="s">
        <v>1573</v>
      </c>
    </row>
    <row r="260" customFormat="false" ht="23.85" hidden="false" customHeight="false" outlineLevel="0" collapsed="false">
      <c r="A260" s="8" t="s">
        <v>1574</v>
      </c>
      <c r="B260" s="8" t="s">
        <v>1556</v>
      </c>
      <c r="C260" s="9" t="n">
        <v>3</v>
      </c>
      <c r="D260" s="10" t="s">
        <v>1575</v>
      </c>
      <c r="E260" s="8" t="s">
        <v>1576</v>
      </c>
      <c r="F260" s="8" t="s">
        <v>1577</v>
      </c>
      <c r="G260" s="8" t="s">
        <v>1578</v>
      </c>
      <c r="H260" s="8" t="s">
        <v>258</v>
      </c>
      <c r="I260" s="8"/>
      <c r="J260" s="8" t="s">
        <v>1579</v>
      </c>
    </row>
    <row r="261" customFormat="false" ht="23.85" hidden="false" customHeight="false" outlineLevel="0" collapsed="false">
      <c r="A261" s="5" t="s">
        <v>1580</v>
      </c>
      <c r="B261" s="5" t="s">
        <v>1550</v>
      </c>
      <c r="C261" s="6" t="n">
        <v>2</v>
      </c>
      <c r="D261" s="7" t="s">
        <v>1581</v>
      </c>
      <c r="E261" s="5" t="s">
        <v>1582</v>
      </c>
      <c r="F261" s="5" t="s">
        <v>1583</v>
      </c>
      <c r="G261" s="5" t="s">
        <v>1584</v>
      </c>
      <c r="H261" s="5" t="s">
        <v>258</v>
      </c>
      <c r="I261" s="5" t="s">
        <v>1585</v>
      </c>
      <c r="J261" s="5" t="s">
        <v>1586</v>
      </c>
    </row>
    <row r="262" customFormat="false" ht="15" hidden="false" customHeight="false" outlineLevel="0" collapsed="false">
      <c r="A262" s="8" t="s">
        <v>1587</v>
      </c>
      <c r="B262" s="8" t="s">
        <v>1580</v>
      </c>
      <c r="C262" s="9" t="n">
        <v>3</v>
      </c>
      <c r="D262" s="10" t="s">
        <v>1588</v>
      </c>
      <c r="E262" s="8"/>
      <c r="F262" s="8" t="s">
        <v>1589</v>
      </c>
      <c r="G262" s="8" t="s">
        <v>1590</v>
      </c>
      <c r="H262" s="8" t="s">
        <v>258</v>
      </c>
      <c r="I262" s="8"/>
      <c r="J262" s="8" t="s">
        <v>1591</v>
      </c>
    </row>
    <row r="263" customFormat="false" ht="23.85" hidden="false" customHeight="false" outlineLevel="0" collapsed="false">
      <c r="A263" s="8" t="s">
        <v>1592</v>
      </c>
      <c r="B263" s="8" t="s">
        <v>1587</v>
      </c>
      <c r="C263" s="9" t="n">
        <v>4</v>
      </c>
      <c r="D263" s="11" t="s">
        <v>1593</v>
      </c>
      <c r="E263" s="8"/>
      <c r="F263" s="8" t="s">
        <v>1594</v>
      </c>
      <c r="G263" s="8" t="s">
        <v>1595</v>
      </c>
      <c r="H263" s="8" t="s">
        <v>258</v>
      </c>
      <c r="I263" s="8"/>
      <c r="J263" s="8" t="s">
        <v>1596</v>
      </c>
    </row>
    <row r="264" customFormat="false" ht="23.85" hidden="false" customHeight="false" outlineLevel="0" collapsed="false">
      <c r="A264" s="8" t="s">
        <v>1597</v>
      </c>
      <c r="B264" s="8" t="s">
        <v>1587</v>
      </c>
      <c r="C264" s="9" t="n">
        <v>4</v>
      </c>
      <c r="D264" s="11" t="s">
        <v>1598</v>
      </c>
      <c r="E264" s="8"/>
      <c r="F264" s="8" t="s">
        <v>1599</v>
      </c>
      <c r="G264" s="8" t="s">
        <v>1600</v>
      </c>
      <c r="H264" s="8" t="s">
        <v>258</v>
      </c>
      <c r="I264" s="8"/>
      <c r="J264" s="8" t="s">
        <v>1601</v>
      </c>
    </row>
    <row r="265" customFormat="false" ht="23.85" hidden="false" customHeight="false" outlineLevel="0" collapsed="false">
      <c r="A265" s="8" t="s">
        <v>1602</v>
      </c>
      <c r="B265" s="8" t="s">
        <v>1587</v>
      </c>
      <c r="C265" s="9" t="n">
        <v>4</v>
      </c>
      <c r="D265" s="11" t="s">
        <v>1603</v>
      </c>
      <c r="E265" s="8" t="s">
        <v>1604</v>
      </c>
      <c r="F265" s="8" t="s">
        <v>1605</v>
      </c>
      <c r="G265" s="8" t="s">
        <v>1606</v>
      </c>
      <c r="H265" s="8" t="s">
        <v>258</v>
      </c>
      <c r="I265" s="8"/>
      <c r="J265" s="8" t="s">
        <v>1607</v>
      </c>
    </row>
    <row r="266" customFormat="false" ht="15" hidden="false" customHeight="false" outlineLevel="0" collapsed="false">
      <c r="A266" s="8" t="s">
        <v>1608</v>
      </c>
      <c r="B266" s="8" t="s">
        <v>1580</v>
      </c>
      <c r="C266" s="9" t="n">
        <v>3</v>
      </c>
      <c r="D266" s="10" t="s">
        <v>1609</v>
      </c>
      <c r="E266" s="8"/>
      <c r="F266" s="8" t="s">
        <v>1610</v>
      </c>
      <c r="G266" s="8" t="s">
        <v>1611</v>
      </c>
      <c r="H266" s="8" t="s">
        <v>258</v>
      </c>
      <c r="I266" s="8"/>
      <c r="J266" s="8" t="s">
        <v>1612</v>
      </c>
    </row>
    <row r="267" customFormat="false" ht="15" hidden="false" customHeight="false" outlineLevel="0" collapsed="false">
      <c r="A267" s="8" t="s">
        <v>1613</v>
      </c>
      <c r="B267" s="8" t="s">
        <v>1580</v>
      </c>
      <c r="C267" s="9" t="n">
        <v>3</v>
      </c>
      <c r="D267" s="10" t="s">
        <v>1614</v>
      </c>
      <c r="E267" s="8"/>
      <c r="F267" s="8" t="s">
        <v>1615</v>
      </c>
      <c r="G267" s="8" t="s">
        <v>1616</v>
      </c>
      <c r="H267" s="8" t="s">
        <v>258</v>
      </c>
      <c r="I267" s="8"/>
      <c r="J267" s="8" t="s">
        <v>1617</v>
      </c>
    </row>
    <row r="268" customFormat="false" ht="15" hidden="false" customHeight="false" outlineLevel="0" collapsed="false">
      <c r="A268" s="8" t="s">
        <v>1618</v>
      </c>
      <c r="B268" s="8" t="s">
        <v>1580</v>
      </c>
      <c r="C268" s="9" t="n">
        <v>3</v>
      </c>
      <c r="D268" s="10" t="s">
        <v>1619</v>
      </c>
      <c r="E268" s="8"/>
      <c r="F268" s="8" t="s">
        <v>1620</v>
      </c>
      <c r="G268" s="8" t="s">
        <v>1621</v>
      </c>
      <c r="H268" s="8" t="s">
        <v>258</v>
      </c>
      <c r="I268" s="8"/>
      <c r="J268" s="8" t="s">
        <v>1622</v>
      </c>
    </row>
    <row r="269" customFormat="false" ht="15" hidden="false" customHeight="false" outlineLevel="0" collapsed="false">
      <c r="A269" s="8" t="s">
        <v>1623</v>
      </c>
      <c r="B269" s="8" t="s">
        <v>1580</v>
      </c>
      <c r="C269" s="9" t="n">
        <v>3</v>
      </c>
      <c r="D269" s="10" t="s">
        <v>1624</v>
      </c>
      <c r="E269" s="8"/>
      <c r="F269" s="8" t="s">
        <v>1625</v>
      </c>
      <c r="G269" s="8" t="s">
        <v>1626</v>
      </c>
      <c r="H269" s="8" t="s">
        <v>258</v>
      </c>
      <c r="I269" s="8"/>
      <c r="J269" s="8" t="s">
        <v>1627</v>
      </c>
    </row>
    <row r="270" customFormat="false" ht="23.85" hidden="false" customHeight="false" outlineLevel="0" collapsed="false">
      <c r="A270" s="8" t="s">
        <v>1628</v>
      </c>
      <c r="B270" s="8" t="s">
        <v>1580</v>
      </c>
      <c r="C270" s="9" t="n">
        <v>3</v>
      </c>
      <c r="D270" s="10" t="s">
        <v>1629</v>
      </c>
      <c r="E270" s="8" t="s">
        <v>1630</v>
      </c>
      <c r="F270" s="8" t="s">
        <v>1631</v>
      </c>
      <c r="G270" s="8" t="s">
        <v>1632</v>
      </c>
      <c r="H270" s="8" t="s">
        <v>258</v>
      </c>
      <c r="I270" s="8" t="s">
        <v>1633</v>
      </c>
      <c r="J270" s="8" t="s">
        <v>1634</v>
      </c>
    </row>
    <row r="271" customFormat="false" ht="23.85" hidden="false" customHeight="false" outlineLevel="0" collapsed="false">
      <c r="A271" s="5" t="s">
        <v>1635</v>
      </c>
      <c r="B271" s="5" t="s">
        <v>1550</v>
      </c>
      <c r="C271" s="6" t="n">
        <v>2</v>
      </c>
      <c r="D271" s="7" t="s">
        <v>1636</v>
      </c>
      <c r="E271" s="5" t="s">
        <v>1637</v>
      </c>
      <c r="F271" s="5" t="s">
        <v>1638</v>
      </c>
      <c r="G271" s="5" t="s">
        <v>1639</v>
      </c>
      <c r="H271" s="5" t="s">
        <v>258</v>
      </c>
      <c r="I271" s="5" t="s">
        <v>1640</v>
      </c>
      <c r="J271" s="5" t="s">
        <v>1641</v>
      </c>
    </row>
    <row r="272" customFormat="false" ht="15" hidden="false" customHeight="false" outlineLevel="0" collapsed="false">
      <c r="A272" s="8" t="s">
        <v>1642</v>
      </c>
      <c r="B272" s="8" t="s">
        <v>1635</v>
      </c>
      <c r="C272" s="9" t="n">
        <v>3</v>
      </c>
      <c r="D272" s="10" t="s">
        <v>1643</v>
      </c>
      <c r="E272" s="8"/>
      <c r="F272" s="8" t="s">
        <v>1644</v>
      </c>
      <c r="G272" s="8" t="s">
        <v>1645</v>
      </c>
      <c r="H272" s="8" t="s">
        <v>258</v>
      </c>
      <c r="I272" s="8"/>
      <c r="J272" s="8" t="s">
        <v>1646</v>
      </c>
    </row>
    <row r="273" customFormat="false" ht="23.85" hidden="false" customHeight="false" outlineLevel="0" collapsed="false">
      <c r="A273" s="8" t="s">
        <v>1647</v>
      </c>
      <c r="B273" s="8" t="s">
        <v>1635</v>
      </c>
      <c r="C273" s="9" t="n">
        <v>3</v>
      </c>
      <c r="D273" s="10" t="s">
        <v>1648</v>
      </c>
      <c r="E273" s="8" t="s">
        <v>1649</v>
      </c>
      <c r="F273" s="8" t="s">
        <v>1650</v>
      </c>
      <c r="G273" s="8" t="s">
        <v>1651</v>
      </c>
      <c r="H273" s="8" t="s">
        <v>258</v>
      </c>
      <c r="I273" s="8"/>
      <c r="J273" s="8" t="s">
        <v>1652</v>
      </c>
    </row>
    <row r="274" customFormat="false" ht="23.85" hidden="false" customHeight="false" outlineLevel="0" collapsed="false">
      <c r="A274" s="8" t="s">
        <v>1653</v>
      </c>
      <c r="B274" s="8" t="s">
        <v>1635</v>
      </c>
      <c r="C274" s="9" t="n">
        <v>3</v>
      </c>
      <c r="D274" s="10" t="s">
        <v>1654</v>
      </c>
      <c r="E274" s="8"/>
      <c r="F274" s="8" t="s">
        <v>1655</v>
      </c>
      <c r="G274" s="8" t="s">
        <v>1656</v>
      </c>
      <c r="H274" s="8" t="s">
        <v>258</v>
      </c>
      <c r="I274" s="8" t="s">
        <v>1657</v>
      </c>
      <c r="J274" s="8" t="s">
        <v>1658</v>
      </c>
    </row>
    <row r="275" customFormat="false" ht="23.85" hidden="false" customHeight="false" outlineLevel="0" collapsed="false">
      <c r="A275" s="8" t="s">
        <v>1659</v>
      </c>
      <c r="B275" s="8" t="s">
        <v>1635</v>
      </c>
      <c r="C275" s="9" t="n">
        <v>3</v>
      </c>
      <c r="D275" s="10" t="s">
        <v>1660</v>
      </c>
      <c r="E275" s="8" t="s">
        <v>1661</v>
      </c>
      <c r="F275" s="8" t="s">
        <v>1662</v>
      </c>
      <c r="G275" s="8" t="s">
        <v>1663</v>
      </c>
      <c r="H275" s="8" t="s">
        <v>258</v>
      </c>
      <c r="I275" s="8"/>
      <c r="J275" s="8" t="s">
        <v>1664</v>
      </c>
    </row>
    <row r="276" customFormat="false" ht="15" hidden="false" customHeight="false" outlineLevel="0" collapsed="false">
      <c r="A276" s="5" t="s">
        <v>1665</v>
      </c>
      <c r="B276" s="5" t="s">
        <v>1550</v>
      </c>
      <c r="C276" s="6" t="n">
        <v>2</v>
      </c>
      <c r="D276" s="7" t="s">
        <v>1666</v>
      </c>
      <c r="E276" s="5" t="s">
        <v>1667</v>
      </c>
      <c r="F276" s="5" t="s">
        <v>1668</v>
      </c>
      <c r="G276" s="5" t="s">
        <v>1669</v>
      </c>
      <c r="H276" s="5" t="s">
        <v>258</v>
      </c>
      <c r="I276" s="5" t="s">
        <v>1670</v>
      </c>
      <c r="J276" s="5" t="s">
        <v>1671</v>
      </c>
    </row>
    <row r="277" customFormat="false" ht="23.85" hidden="false" customHeight="false" outlineLevel="0" collapsed="false">
      <c r="A277" s="8" t="s">
        <v>1672</v>
      </c>
      <c r="B277" s="8" t="s">
        <v>1665</v>
      </c>
      <c r="C277" s="9" t="n">
        <v>3</v>
      </c>
      <c r="D277" s="10" t="s">
        <v>1673</v>
      </c>
      <c r="E277" s="8" t="s">
        <v>1674</v>
      </c>
      <c r="F277" s="8" t="s">
        <v>1675</v>
      </c>
      <c r="G277" s="8" t="s">
        <v>1676</v>
      </c>
      <c r="H277" s="8" t="s">
        <v>258</v>
      </c>
      <c r="I277" s="8" t="s">
        <v>1677</v>
      </c>
      <c r="J277" s="8" t="s">
        <v>1678</v>
      </c>
    </row>
    <row r="278" customFormat="false" ht="15" hidden="false" customHeight="false" outlineLevel="0" collapsed="false">
      <c r="A278" s="8" t="s">
        <v>1679</v>
      </c>
      <c r="B278" s="8" t="s">
        <v>1665</v>
      </c>
      <c r="C278" s="9" t="n">
        <v>3</v>
      </c>
      <c r="D278" s="10" t="s">
        <v>1680</v>
      </c>
      <c r="E278" s="8"/>
      <c r="F278" s="8" t="s">
        <v>1681</v>
      </c>
      <c r="G278" s="8" t="s">
        <v>1682</v>
      </c>
      <c r="H278" s="8" t="s">
        <v>258</v>
      </c>
      <c r="I278" s="8"/>
      <c r="J278" s="8" t="s">
        <v>1683</v>
      </c>
    </row>
    <row r="279" customFormat="false" ht="23.85" hidden="false" customHeight="false" outlineLevel="0" collapsed="false">
      <c r="A279" s="5" t="s">
        <v>1684</v>
      </c>
      <c r="B279" s="5" t="s">
        <v>1550</v>
      </c>
      <c r="C279" s="6" t="n">
        <v>2</v>
      </c>
      <c r="D279" s="7" t="s">
        <v>1685</v>
      </c>
      <c r="E279" s="5" t="s">
        <v>1686</v>
      </c>
      <c r="F279" s="5" t="s">
        <v>1687</v>
      </c>
      <c r="G279" s="5" t="s">
        <v>1688</v>
      </c>
      <c r="H279" s="5" t="s">
        <v>258</v>
      </c>
      <c r="I279" s="5" t="s">
        <v>1689</v>
      </c>
      <c r="J279" s="5" t="s">
        <v>1690</v>
      </c>
    </row>
    <row r="280" customFormat="false" ht="23.85" hidden="false" customHeight="false" outlineLevel="0" collapsed="false">
      <c r="A280" s="5" t="s">
        <v>1691</v>
      </c>
      <c r="B280" s="5" t="s">
        <v>1550</v>
      </c>
      <c r="C280" s="6" t="n">
        <v>2</v>
      </c>
      <c r="D280" s="7" t="s">
        <v>1692</v>
      </c>
      <c r="E280" s="5" t="s">
        <v>1693</v>
      </c>
      <c r="F280" s="5" t="s">
        <v>1694</v>
      </c>
      <c r="G280" s="5" t="s">
        <v>1695</v>
      </c>
      <c r="H280" s="5" t="s">
        <v>258</v>
      </c>
      <c r="I280" s="5" t="s">
        <v>1696</v>
      </c>
      <c r="J280" s="5" t="s">
        <v>1697</v>
      </c>
    </row>
    <row r="281" customFormat="false" ht="15" hidden="false" customHeight="false" outlineLevel="0" collapsed="false">
      <c r="A281" s="5" t="s">
        <v>1698</v>
      </c>
      <c r="B281" s="5" t="s">
        <v>1550</v>
      </c>
      <c r="C281" s="6" t="n">
        <v>2</v>
      </c>
      <c r="D281" s="7" t="s">
        <v>1699</v>
      </c>
      <c r="E281" s="5" t="s">
        <v>1700</v>
      </c>
      <c r="F281" s="5" t="s">
        <v>1701</v>
      </c>
      <c r="G281" s="5" t="s">
        <v>1702</v>
      </c>
      <c r="H281" s="5" t="s">
        <v>258</v>
      </c>
      <c r="I281" s="5"/>
      <c r="J281" s="5" t="s">
        <v>1703</v>
      </c>
    </row>
    <row r="282" customFormat="false" ht="23.85" hidden="false" customHeight="false" outlineLevel="0" collapsed="false">
      <c r="A282" s="8" t="s">
        <v>1704</v>
      </c>
      <c r="B282" s="8" t="s">
        <v>1698</v>
      </c>
      <c r="C282" s="9" t="n">
        <v>3</v>
      </c>
      <c r="D282" s="10" t="s">
        <v>1705</v>
      </c>
      <c r="E282" s="8" t="s">
        <v>1706</v>
      </c>
      <c r="F282" s="8" t="s">
        <v>1707</v>
      </c>
      <c r="G282" s="8" t="s">
        <v>1708</v>
      </c>
      <c r="H282" s="8" t="s">
        <v>258</v>
      </c>
      <c r="I282" s="8" t="s">
        <v>1709</v>
      </c>
      <c r="J282" s="8" t="s">
        <v>1710</v>
      </c>
    </row>
    <row r="283" customFormat="false" ht="15" hidden="false" customHeight="false" outlineLevel="0" collapsed="false">
      <c r="A283" s="8" t="s">
        <v>1711</v>
      </c>
      <c r="B283" s="8" t="s">
        <v>1698</v>
      </c>
      <c r="C283" s="9" t="n">
        <v>3</v>
      </c>
      <c r="D283" s="10" t="s">
        <v>1712</v>
      </c>
      <c r="E283" s="8"/>
      <c r="F283" s="8" t="s">
        <v>1713</v>
      </c>
      <c r="G283" s="8" t="s">
        <v>1714</v>
      </c>
      <c r="H283" s="8" t="s">
        <v>258</v>
      </c>
      <c r="I283" s="8"/>
      <c r="J283" s="8" t="s">
        <v>1715</v>
      </c>
    </row>
    <row r="284" customFormat="false" ht="15" hidden="false" customHeight="false" outlineLevel="0" collapsed="false">
      <c r="A284" s="8" t="s">
        <v>1716</v>
      </c>
      <c r="B284" s="8" t="s">
        <v>1698</v>
      </c>
      <c r="C284" s="9" t="n">
        <v>3</v>
      </c>
      <c r="D284" s="10" t="s">
        <v>1717</v>
      </c>
      <c r="E284" s="8"/>
      <c r="F284" s="8" t="s">
        <v>1718</v>
      </c>
      <c r="G284" s="8" t="s">
        <v>1719</v>
      </c>
      <c r="H284" s="8" t="s">
        <v>258</v>
      </c>
      <c r="I284" s="8" t="s">
        <v>1720</v>
      </c>
      <c r="J284" s="8" t="s">
        <v>1721</v>
      </c>
    </row>
    <row r="285" customFormat="false" ht="23.85" hidden="false" customHeight="false" outlineLevel="0" collapsed="false">
      <c r="A285" s="2" t="s">
        <v>1722</v>
      </c>
      <c r="B285" s="2"/>
      <c r="C285" s="3" t="n">
        <v>1</v>
      </c>
      <c r="D285" s="4" t="s">
        <v>1723</v>
      </c>
      <c r="E285" s="2" t="s">
        <v>1724</v>
      </c>
      <c r="F285" s="2" t="s">
        <v>1725</v>
      </c>
      <c r="G285" s="2" t="s">
        <v>1726</v>
      </c>
      <c r="H285" s="2" t="s">
        <v>258</v>
      </c>
      <c r="I285" s="2"/>
      <c r="J285" s="2" t="s">
        <v>1723</v>
      </c>
    </row>
    <row r="286" customFormat="false" ht="15" hidden="false" customHeight="false" outlineLevel="0" collapsed="false">
      <c r="A286" s="5" t="s">
        <v>1727</v>
      </c>
      <c r="B286" s="5" t="s">
        <v>1722</v>
      </c>
      <c r="C286" s="6" t="n">
        <v>2</v>
      </c>
      <c r="D286" s="7" t="s">
        <v>1728</v>
      </c>
      <c r="E286" s="5"/>
      <c r="F286" s="5" t="s">
        <v>1729</v>
      </c>
      <c r="G286" s="5" t="s">
        <v>1730</v>
      </c>
      <c r="H286" s="5" t="s">
        <v>258</v>
      </c>
      <c r="I286" s="5" t="s">
        <v>1731</v>
      </c>
      <c r="J286" s="5" t="s">
        <v>1732</v>
      </c>
    </row>
    <row r="287" customFormat="false" ht="23.85" hidden="false" customHeight="false" outlineLevel="0" collapsed="false">
      <c r="A287" s="8" t="s">
        <v>1733</v>
      </c>
      <c r="B287" s="8" t="s">
        <v>1727</v>
      </c>
      <c r="C287" s="9" t="n">
        <v>3</v>
      </c>
      <c r="D287" s="10" t="s">
        <v>1734</v>
      </c>
      <c r="E287" s="8" t="s">
        <v>1735</v>
      </c>
      <c r="F287" s="8" t="s">
        <v>1736</v>
      </c>
      <c r="G287" s="8" t="s">
        <v>1737</v>
      </c>
      <c r="H287" s="8" t="s">
        <v>258</v>
      </c>
      <c r="I287" s="8" t="s">
        <v>1738</v>
      </c>
      <c r="J287" s="8" t="s">
        <v>1739</v>
      </c>
    </row>
    <row r="288" customFormat="false" ht="23.85" hidden="false" customHeight="false" outlineLevel="0" collapsed="false">
      <c r="A288" s="8" t="s">
        <v>1740</v>
      </c>
      <c r="B288" s="8" t="s">
        <v>1733</v>
      </c>
      <c r="C288" s="9" t="n">
        <v>4</v>
      </c>
      <c r="D288" s="11" t="s">
        <v>1741</v>
      </c>
      <c r="E288" s="8"/>
      <c r="F288" s="8" t="s">
        <v>1742</v>
      </c>
      <c r="G288" s="8" t="s">
        <v>1743</v>
      </c>
      <c r="H288" s="8" t="s">
        <v>258</v>
      </c>
      <c r="I288" s="8" t="s">
        <v>1744</v>
      </c>
      <c r="J288" s="8" t="s">
        <v>1745</v>
      </c>
    </row>
    <row r="289" customFormat="false" ht="23.85" hidden="false" customHeight="false" outlineLevel="0" collapsed="false">
      <c r="A289" s="8" t="s">
        <v>1746</v>
      </c>
      <c r="B289" s="8" t="s">
        <v>1733</v>
      </c>
      <c r="C289" s="9" t="n">
        <v>4</v>
      </c>
      <c r="D289" s="11" t="s">
        <v>1747</v>
      </c>
      <c r="E289" s="8"/>
      <c r="F289" s="8" t="s">
        <v>1748</v>
      </c>
      <c r="G289" s="8" t="s">
        <v>1749</v>
      </c>
      <c r="H289" s="8" t="s">
        <v>258</v>
      </c>
      <c r="I289" s="8"/>
      <c r="J289" s="8" t="s">
        <v>1750</v>
      </c>
    </row>
    <row r="290" customFormat="false" ht="23.85" hidden="false" customHeight="false" outlineLevel="0" collapsed="false">
      <c r="A290" s="8" t="s">
        <v>1751</v>
      </c>
      <c r="B290" s="8" t="s">
        <v>1733</v>
      </c>
      <c r="C290" s="9" t="n">
        <v>4</v>
      </c>
      <c r="D290" s="11" t="s">
        <v>1752</v>
      </c>
      <c r="E290" s="8"/>
      <c r="F290" s="8" t="s">
        <v>1753</v>
      </c>
      <c r="G290" s="8" t="s">
        <v>1754</v>
      </c>
      <c r="H290" s="8" t="s">
        <v>258</v>
      </c>
      <c r="I290" s="8"/>
      <c r="J290" s="8" t="s">
        <v>1755</v>
      </c>
    </row>
    <row r="291" customFormat="false" ht="23.85" hidden="false" customHeight="false" outlineLevel="0" collapsed="false">
      <c r="A291" s="8" t="s">
        <v>1756</v>
      </c>
      <c r="B291" s="8" t="s">
        <v>1733</v>
      </c>
      <c r="C291" s="9" t="n">
        <v>4</v>
      </c>
      <c r="D291" s="11" t="s">
        <v>1757</v>
      </c>
      <c r="E291" s="8" t="s">
        <v>1758</v>
      </c>
      <c r="F291" s="8" t="s">
        <v>1759</v>
      </c>
      <c r="G291" s="8" t="s">
        <v>1760</v>
      </c>
      <c r="H291" s="8" t="s">
        <v>258</v>
      </c>
      <c r="I291" s="8"/>
      <c r="J291" s="8" t="s">
        <v>1761</v>
      </c>
    </row>
    <row r="292" customFormat="false" ht="15" hidden="false" customHeight="false" outlineLevel="0" collapsed="false">
      <c r="A292" s="8" t="s">
        <v>1762</v>
      </c>
      <c r="B292" s="8" t="s">
        <v>1733</v>
      </c>
      <c r="C292" s="9" t="n">
        <v>4</v>
      </c>
      <c r="D292" s="11" t="s">
        <v>1763</v>
      </c>
      <c r="E292" s="8"/>
      <c r="F292" s="8" t="s">
        <v>1764</v>
      </c>
      <c r="G292" s="8" t="s">
        <v>1765</v>
      </c>
      <c r="H292" s="8" t="s">
        <v>258</v>
      </c>
      <c r="I292" s="8"/>
      <c r="J292" s="8" t="s">
        <v>1766</v>
      </c>
    </row>
    <row r="293" customFormat="false" ht="15" hidden="false" customHeight="false" outlineLevel="0" collapsed="false">
      <c r="A293" s="8" t="s">
        <v>1767</v>
      </c>
      <c r="B293" s="8" t="s">
        <v>1727</v>
      </c>
      <c r="C293" s="9" t="n">
        <v>3</v>
      </c>
      <c r="D293" s="10" t="s">
        <v>1768</v>
      </c>
      <c r="E293" s="8" t="s">
        <v>1769</v>
      </c>
      <c r="F293" s="8" t="s">
        <v>1770</v>
      </c>
      <c r="G293" s="8" t="s">
        <v>1771</v>
      </c>
      <c r="H293" s="8" t="s">
        <v>258</v>
      </c>
      <c r="I293" s="8" t="s">
        <v>1772</v>
      </c>
      <c r="J293" s="8" t="s">
        <v>1773</v>
      </c>
    </row>
    <row r="294" customFormat="false" ht="15" hidden="false" customHeight="false" outlineLevel="0" collapsed="false">
      <c r="A294" s="8" t="s">
        <v>1774</v>
      </c>
      <c r="B294" s="8" t="s">
        <v>1767</v>
      </c>
      <c r="C294" s="9" t="n">
        <v>4</v>
      </c>
      <c r="D294" s="11" t="s">
        <v>1775</v>
      </c>
      <c r="E294" s="8" t="s">
        <v>1776</v>
      </c>
      <c r="F294" s="8" t="s">
        <v>1777</v>
      </c>
      <c r="G294" s="8" t="s">
        <v>1778</v>
      </c>
      <c r="H294" s="8" t="s">
        <v>258</v>
      </c>
      <c r="I294" s="8"/>
      <c r="J294" s="8" t="s">
        <v>1779</v>
      </c>
    </row>
    <row r="295" customFormat="false" ht="15" hidden="false" customHeight="false" outlineLevel="0" collapsed="false">
      <c r="A295" s="8" t="s">
        <v>1780</v>
      </c>
      <c r="B295" s="8" t="s">
        <v>1767</v>
      </c>
      <c r="C295" s="9" t="n">
        <v>4</v>
      </c>
      <c r="D295" s="11" t="s">
        <v>1781</v>
      </c>
      <c r="E295" s="8" t="s">
        <v>1782</v>
      </c>
      <c r="F295" s="8" t="s">
        <v>1783</v>
      </c>
      <c r="G295" s="8" t="s">
        <v>1784</v>
      </c>
      <c r="H295" s="8" t="s">
        <v>258</v>
      </c>
      <c r="I295" s="8"/>
      <c r="J295" s="8" t="s">
        <v>1785</v>
      </c>
    </row>
    <row r="296" customFormat="false" ht="23.85" hidden="false" customHeight="false" outlineLevel="0" collapsed="false">
      <c r="A296" s="8" t="s">
        <v>1786</v>
      </c>
      <c r="B296" s="8" t="s">
        <v>1767</v>
      </c>
      <c r="C296" s="9" t="n">
        <v>4</v>
      </c>
      <c r="D296" s="11" t="s">
        <v>1787</v>
      </c>
      <c r="E296" s="8"/>
      <c r="F296" s="8" t="s">
        <v>1788</v>
      </c>
      <c r="G296" s="8" t="s">
        <v>1789</v>
      </c>
      <c r="H296" s="8" t="s">
        <v>258</v>
      </c>
      <c r="I296" s="8"/>
      <c r="J296" s="8" t="s">
        <v>1790</v>
      </c>
    </row>
    <row r="297" customFormat="false" ht="15" hidden="false" customHeight="false" outlineLevel="0" collapsed="false">
      <c r="A297" s="8" t="s">
        <v>1791</v>
      </c>
      <c r="B297" s="8" t="s">
        <v>1767</v>
      </c>
      <c r="C297" s="9" t="n">
        <v>4</v>
      </c>
      <c r="D297" s="11" t="s">
        <v>1792</v>
      </c>
      <c r="E297" s="8"/>
      <c r="F297" s="8" t="s">
        <v>1793</v>
      </c>
      <c r="G297" s="8" t="s">
        <v>1794</v>
      </c>
      <c r="H297" s="8" t="s">
        <v>258</v>
      </c>
      <c r="I297" s="8"/>
      <c r="J297" s="8" t="s">
        <v>1795</v>
      </c>
    </row>
    <row r="298" customFormat="false" ht="15" hidden="false" customHeight="false" outlineLevel="0" collapsed="false">
      <c r="A298" s="8" t="s">
        <v>1796</v>
      </c>
      <c r="B298" s="8" t="s">
        <v>1727</v>
      </c>
      <c r="C298" s="9" t="n">
        <v>3</v>
      </c>
      <c r="D298" s="10" t="s">
        <v>1797</v>
      </c>
      <c r="E298" s="8"/>
      <c r="F298" s="8" t="s">
        <v>1798</v>
      </c>
      <c r="G298" s="8" t="s">
        <v>1799</v>
      </c>
      <c r="H298" s="8" t="s">
        <v>258</v>
      </c>
      <c r="I298" s="8"/>
      <c r="J298" s="8" t="s">
        <v>1800</v>
      </c>
    </row>
    <row r="299" customFormat="false" ht="23.85" hidden="false" customHeight="false" outlineLevel="0" collapsed="false">
      <c r="A299" s="8" t="s">
        <v>1801</v>
      </c>
      <c r="B299" s="8" t="s">
        <v>1796</v>
      </c>
      <c r="C299" s="9" t="n">
        <v>4</v>
      </c>
      <c r="D299" s="11" t="s">
        <v>1802</v>
      </c>
      <c r="E299" s="8" t="s">
        <v>1803</v>
      </c>
      <c r="F299" s="8" t="s">
        <v>1804</v>
      </c>
      <c r="G299" s="8" t="s">
        <v>1805</v>
      </c>
      <c r="H299" s="8" t="s">
        <v>258</v>
      </c>
      <c r="I299" s="8" t="s">
        <v>1806</v>
      </c>
      <c r="J299" s="8" t="s">
        <v>1807</v>
      </c>
    </row>
    <row r="300" customFormat="false" ht="15" hidden="false" customHeight="false" outlineLevel="0" collapsed="false">
      <c r="A300" s="8" t="s">
        <v>1808</v>
      </c>
      <c r="B300" s="8" t="s">
        <v>1796</v>
      </c>
      <c r="C300" s="9" t="n">
        <v>4</v>
      </c>
      <c r="D300" s="11" t="s">
        <v>1809</v>
      </c>
      <c r="E300" s="8"/>
      <c r="F300" s="8" t="s">
        <v>1810</v>
      </c>
      <c r="G300" s="8" t="s">
        <v>1811</v>
      </c>
      <c r="H300" s="8" t="s">
        <v>258</v>
      </c>
      <c r="I300" s="8"/>
      <c r="J300" s="8" t="s">
        <v>1812</v>
      </c>
    </row>
    <row r="301" customFormat="false" ht="15" hidden="false" customHeight="false" outlineLevel="0" collapsed="false">
      <c r="A301" s="8" t="s">
        <v>1813</v>
      </c>
      <c r="B301" s="8" t="s">
        <v>1796</v>
      </c>
      <c r="C301" s="9" t="n">
        <v>4</v>
      </c>
      <c r="D301" s="11" t="s">
        <v>1814</v>
      </c>
      <c r="E301" s="8"/>
      <c r="F301" s="8" t="s">
        <v>1815</v>
      </c>
      <c r="G301" s="8" t="s">
        <v>1816</v>
      </c>
      <c r="H301" s="8" t="s">
        <v>258</v>
      </c>
      <c r="I301" s="8"/>
      <c r="J301" s="8" t="s">
        <v>1817</v>
      </c>
    </row>
    <row r="302" customFormat="false" ht="15" hidden="false" customHeight="false" outlineLevel="0" collapsed="false">
      <c r="A302" s="8" t="s">
        <v>1818</v>
      </c>
      <c r="B302" s="8" t="s">
        <v>1796</v>
      </c>
      <c r="C302" s="9" t="n">
        <v>4</v>
      </c>
      <c r="D302" s="11" t="s">
        <v>1819</v>
      </c>
      <c r="E302" s="8" t="s">
        <v>1820</v>
      </c>
      <c r="F302" s="8" t="s">
        <v>1821</v>
      </c>
      <c r="G302" s="8" t="s">
        <v>1822</v>
      </c>
      <c r="H302" s="8" t="s">
        <v>258</v>
      </c>
      <c r="I302" s="8"/>
      <c r="J302" s="8" t="s">
        <v>1823</v>
      </c>
    </row>
    <row r="303" customFormat="false" ht="15" hidden="false" customHeight="false" outlineLevel="0" collapsed="false">
      <c r="A303" s="8" t="s">
        <v>1824</v>
      </c>
      <c r="B303" s="8" t="s">
        <v>1796</v>
      </c>
      <c r="C303" s="9" t="n">
        <v>4</v>
      </c>
      <c r="D303" s="11" t="s">
        <v>1825</v>
      </c>
      <c r="E303" s="8"/>
      <c r="F303" s="8" t="s">
        <v>1826</v>
      </c>
      <c r="G303" s="8" t="s">
        <v>1827</v>
      </c>
      <c r="H303" s="8" t="s">
        <v>258</v>
      </c>
      <c r="I303" s="8"/>
      <c r="J303" s="8" t="s">
        <v>1828</v>
      </c>
    </row>
    <row r="304" customFormat="false" ht="23.85" hidden="false" customHeight="false" outlineLevel="0" collapsed="false">
      <c r="A304" s="8" t="s">
        <v>1829</v>
      </c>
      <c r="B304" s="8" t="s">
        <v>1727</v>
      </c>
      <c r="C304" s="9" t="n">
        <v>3</v>
      </c>
      <c r="D304" s="10" t="s">
        <v>1830</v>
      </c>
      <c r="E304" s="8" t="s">
        <v>1831</v>
      </c>
      <c r="F304" s="8" t="s">
        <v>1832</v>
      </c>
      <c r="G304" s="8" t="s">
        <v>1833</v>
      </c>
      <c r="H304" s="8" t="s">
        <v>15</v>
      </c>
      <c r="I304" s="8" t="s">
        <v>1834</v>
      </c>
      <c r="J304" s="8" t="s">
        <v>1835</v>
      </c>
    </row>
    <row r="305" customFormat="false" ht="23.85" hidden="false" customHeight="false" outlineLevel="0" collapsed="false">
      <c r="A305" s="5" t="s">
        <v>1836</v>
      </c>
      <c r="B305" s="5" t="s">
        <v>1722</v>
      </c>
      <c r="C305" s="6" t="n">
        <v>2</v>
      </c>
      <c r="D305" s="7" t="s">
        <v>1837</v>
      </c>
      <c r="E305" s="5" t="s">
        <v>1838</v>
      </c>
      <c r="F305" s="5" t="s">
        <v>1839</v>
      </c>
      <c r="G305" s="5" t="s">
        <v>1840</v>
      </c>
      <c r="H305" s="5" t="s">
        <v>258</v>
      </c>
      <c r="I305" s="5" t="s">
        <v>1841</v>
      </c>
      <c r="J305" s="5" t="s">
        <v>1842</v>
      </c>
    </row>
    <row r="306" customFormat="false" ht="15" hidden="false" customHeight="false" outlineLevel="0" collapsed="false">
      <c r="A306" s="8" t="s">
        <v>1843</v>
      </c>
      <c r="B306" s="8" t="s">
        <v>1836</v>
      </c>
      <c r="C306" s="9" t="n">
        <v>3</v>
      </c>
      <c r="D306" s="10" t="s">
        <v>1844</v>
      </c>
      <c r="E306" s="8"/>
      <c r="F306" s="8" t="s">
        <v>1845</v>
      </c>
      <c r="G306" s="8" t="s">
        <v>1846</v>
      </c>
      <c r="H306" s="8" t="s">
        <v>258</v>
      </c>
      <c r="I306" s="8"/>
      <c r="J306" s="8" t="s">
        <v>1847</v>
      </c>
    </row>
    <row r="307" customFormat="false" ht="15" hidden="false" customHeight="false" outlineLevel="0" collapsed="false">
      <c r="A307" s="8" t="s">
        <v>1848</v>
      </c>
      <c r="B307" s="8" t="s">
        <v>1836</v>
      </c>
      <c r="C307" s="9" t="n">
        <v>3</v>
      </c>
      <c r="D307" s="10" t="s">
        <v>1849</v>
      </c>
      <c r="E307" s="8"/>
      <c r="F307" s="8" t="s">
        <v>1850</v>
      </c>
      <c r="G307" s="8" t="s">
        <v>1851</v>
      </c>
      <c r="H307" s="8" t="s">
        <v>258</v>
      </c>
      <c r="I307" s="8"/>
      <c r="J307" s="8" t="s">
        <v>1852</v>
      </c>
    </row>
    <row r="308" customFormat="false" ht="15" hidden="false" customHeight="false" outlineLevel="0" collapsed="false">
      <c r="A308" s="8" t="s">
        <v>1853</v>
      </c>
      <c r="B308" s="8" t="s">
        <v>1836</v>
      </c>
      <c r="C308" s="9" t="n">
        <v>3</v>
      </c>
      <c r="D308" s="10" t="s">
        <v>1854</v>
      </c>
      <c r="E308" s="8" t="s">
        <v>1855</v>
      </c>
      <c r="F308" s="8" t="s">
        <v>1856</v>
      </c>
      <c r="G308" s="8" t="s">
        <v>1857</v>
      </c>
      <c r="H308" s="8" t="s">
        <v>258</v>
      </c>
      <c r="I308" s="8"/>
      <c r="J308" s="8" t="s">
        <v>1858</v>
      </c>
    </row>
    <row r="309" customFormat="false" ht="15" hidden="false" customHeight="false" outlineLevel="0" collapsed="false">
      <c r="A309" s="8" t="s">
        <v>1859</v>
      </c>
      <c r="B309" s="8" t="s">
        <v>1836</v>
      </c>
      <c r="C309" s="9" t="n">
        <v>3</v>
      </c>
      <c r="D309" s="10" t="s">
        <v>1860</v>
      </c>
      <c r="E309" s="8"/>
      <c r="F309" s="8" t="s">
        <v>1861</v>
      </c>
      <c r="G309" s="8" t="s">
        <v>1862</v>
      </c>
      <c r="H309" s="8" t="s">
        <v>258</v>
      </c>
      <c r="I309" s="8"/>
      <c r="J309" s="8" t="s">
        <v>1863</v>
      </c>
    </row>
    <row r="310" customFormat="false" ht="15" hidden="false" customHeight="false" outlineLevel="0" collapsed="false">
      <c r="A310" s="8" t="s">
        <v>1864</v>
      </c>
      <c r="B310" s="8" t="s">
        <v>1836</v>
      </c>
      <c r="C310" s="9" t="n">
        <v>3</v>
      </c>
      <c r="D310" s="10" t="s">
        <v>1865</v>
      </c>
      <c r="E310" s="8" t="s">
        <v>1866</v>
      </c>
      <c r="F310" s="8" t="s">
        <v>1867</v>
      </c>
      <c r="G310" s="8" t="s">
        <v>1868</v>
      </c>
      <c r="H310" s="8" t="s">
        <v>258</v>
      </c>
      <c r="I310" s="8"/>
      <c r="J310" s="8" t="s">
        <v>1869</v>
      </c>
    </row>
    <row r="311" customFormat="false" ht="15" hidden="false" customHeight="false" outlineLevel="0" collapsed="false">
      <c r="A311" s="8" t="s">
        <v>1870</v>
      </c>
      <c r="B311" s="8" t="s">
        <v>1836</v>
      </c>
      <c r="C311" s="9" t="n">
        <v>3</v>
      </c>
      <c r="D311" s="10" t="s">
        <v>1871</v>
      </c>
      <c r="E311" s="8"/>
      <c r="F311" s="8" t="s">
        <v>1872</v>
      </c>
      <c r="G311" s="8" t="s">
        <v>1873</v>
      </c>
      <c r="H311" s="8" t="s">
        <v>258</v>
      </c>
      <c r="I311" s="8"/>
      <c r="J311" s="8" t="s">
        <v>1874</v>
      </c>
    </row>
    <row r="312" customFormat="false" ht="15" hidden="false" customHeight="false" outlineLevel="0" collapsed="false">
      <c r="A312" s="8" t="s">
        <v>1875</v>
      </c>
      <c r="B312" s="8" t="s">
        <v>1836</v>
      </c>
      <c r="C312" s="9" t="n">
        <v>3</v>
      </c>
      <c r="D312" s="10" t="s">
        <v>1876</v>
      </c>
      <c r="E312" s="8"/>
      <c r="F312" s="8" t="s">
        <v>1877</v>
      </c>
      <c r="G312" s="8" t="s">
        <v>1878</v>
      </c>
      <c r="H312" s="8" t="s">
        <v>258</v>
      </c>
      <c r="I312" s="8"/>
      <c r="J312" s="8" t="s">
        <v>1879</v>
      </c>
    </row>
    <row r="313" customFormat="false" ht="15" hidden="false" customHeight="false" outlineLevel="0" collapsed="false">
      <c r="A313" s="8" t="s">
        <v>1880</v>
      </c>
      <c r="B313" s="8" t="s">
        <v>1836</v>
      </c>
      <c r="C313" s="9" t="n">
        <v>3</v>
      </c>
      <c r="D313" s="10" t="s">
        <v>1881</v>
      </c>
      <c r="E313" s="8"/>
      <c r="F313" s="8" t="s">
        <v>1882</v>
      </c>
      <c r="G313" s="8" t="s">
        <v>1883</v>
      </c>
      <c r="H313" s="8" t="s">
        <v>258</v>
      </c>
      <c r="I313" s="8"/>
      <c r="J313" s="8" t="s">
        <v>1884</v>
      </c>
    </row>
    <row r="314" customFormat="false" ht="15" hidden="false" customHeight="false" outlineLevel="0" collapsed="false">
      <c r="A314" s="8" t="s">
        <v>1885</v>
      </c>
      <c r="B314" s="8" t="s">
        <v>1836</v>
      </c>
      <c r="C314" s="9" t="n">
        <v>3</v>
      </c>
      <c r="D314" s="10" t="s">
        <v>1886</v>
      </c>
      <c r="E314" s="8" t="s">
        <v>1887</v>
      </c>
      <c r="F314" s="8" t="s">
        <v>1888</v>
      </c>
      <c r="G314" s="8" t="s">
        <v>1889</v>
      </c>
      <c r="H314" s="8" t="s">
        <v>258</v>
      </c>
      <c r="I314" s="8"/>
      <c r="J314" s="8" t="s">
        <v>1890</v>
      </c>
    </row>
    <row r="315" customFormat="false" ht="15" hidden="false" customHeight="false" outlineLevel="0" collapsed="false">
      <c r="A315" s="8" t="s">
        <v>1891</v>
      </c>
      <c r="B315" s="8" t="s">
        <v>1836</v>
      </c>
      <c r="C315" s="9" t="n">
        <v>3</v>
      </c>
      <c r="D315" s="10" t="s">
        <v>1892</v>
      </c>
      <c r="E315" s="8"/>
      <c r="F315" s="8" t="s">
        <v>1893</v>
      </c>
      <c r="G315" s="8" t="s">
        <v>1894</v>
      </c>
      <c r="H315" s="8" t="s">
        <v>258</v>
      </c>
      <c r="I315" s="8"/>
      <c r="J315" s="8" t="s">
        <v>1895</v>
      </c>
    </row>
    <row r="316" customFormat="false" ht="23.85" hidden="false" customHeight="false" outlineLevel="0" collapsed="false">
      <c r="A316" s="8" t="s">
        <v>1896</v>
      </c>
      <c r="B316" s="8" t="s">
        <v>1836</v>
      </c>
      <c r="C316" s="9" t="n">
        <v>3</v>
      </c>
      <c r="D316" s="10" t="s">
        <v>1897</v>
      </c>
      <c r="E316" s="8" t="s">
        <v>1898</v>
      </c>
      <c r="F316" s="8" t="s">
        <v>1899</v>
      </c>
      <c r="G316" s="8" t="s">
        <v>1900</v>
      </c>
      <c r="H316" s="8" t="s">
        <v>258</v>
      </c>
      <c r="I316" s="8"/>
      <c r="J316" s="8" t="s">
        <v>1901</v>
      </c>
    </row>
    <row r="317" customFormat="false" ht="15" hidden="false" customHeight="false" outlineLevel="0" collapsed="false">
      <c r="A317" s="5" t="s">
        <v>1902</v>
      </c>
      <c r="B317" s="5" t="s">
        <v>1722</v>
      </c>
      <c r="C317" s="6" t="n">
        <v>2</v>
      </c>
      <c r="D317" s="7" t="s">
        <v>1903</v>
      </c>
      <c r="E317" s="5"/>
      <c r="F317" s="5" t="s">
        <v>1904</v>
      </c>
      <c r="G317" s="5" t="s">
        <v>1905</v>
      </c>
      <c r="H317" s="5" t="s">
        <v>258</v>
      </c>
      <c r="I317" s="5" t="s">
        <v>1906</v>
      </c>
      <c r="J317" s="5" t="s">
        <v>1907</v>
      </c>
    </row>
    <row r="318" customFormat="false" ht="15" hidden="false" customHeight="false" outlineLevel="0" collapsed="false">
      <c r="A318" s="8" t="s">
        <v>1908</v>
      </c>
      <c r="B318" s="8" t="s">
        <v>1902</v>
      </c>
      <c r="C318" s="9" t="n">
        <v>3</v>
      </c>
      <c r="D318" s="10" t="s">
        <v>1909</v>
      </c>
      <c r="E318" s="8"/>
      <c r="F318" s="8" t="s">
        <v>1910</v>
      </c>
      <c r="G318" s="8" t="s">
        <v>1911</v>
      </c>
      <c r="H318" s="8" t="s">
        <v>258</v>
      </c>
      <c r="I318" s="8"/>
      <c r="J318" s="8" t="s">
        <v>1912</v>
      </c>
    </row>
    <row r="319" customFormat="false" ht="15" hidden="false" customHeight="false" outlineLevel="0" collapsed="false">
      <c r="A319" s="8" t="s">
        <v>1913</v>
      </c>
      <c r="B319" s="8" t="s">
        <v>1902</v>
      </c>
      <c r="C319" s="9" t="n">
        <v>3</v>
      </c>
      <c r="D319" s="10" t="s">
        <v>1914</v>
      </c>
      <c r="E319" s="8" t="s">
        <v>1915</v>
      </c>
      <c r="F319" s="8" t="s">
        <v>1916</v>
      </c>
      <c r="G319" s="8" t="s">
        <v>1917</v>
      </c>
      <c r="H319" s="8" t="s">
        <v>258</v>
      </c>
      <c r="I319" s="8" t="s">
        <v>1918</v>
      </c>
      <c r="J319" s="8" t="s">
        <v>1919</v>
      </c>
    </row>
    <row r="320" customFormat="false" ht="15" hidden="false" customHeight="false" outlineLevel="0" collapsed="false">
      <c r="A320" s="8" t="s">
        <v>1920</v>
      </c>
      <c r="B320" s="8" t="s">
        <v>1902</v>
      </c>
      <c r="C320" s="9" t="n">
        <v>3</v>
      </c>
      <c r="D320" s="10" t="s">
        <v>1921</v>
      </c>
      <c r="E320" s="8" t="s">
        <v>1922</v>
      </c>
      <c r="F320" s="8" t="s">
        <v>1923</v>
      </c>
      <c r="G320" s="8" t="s">
        <v>1924</v>
      </c>
      <c r="H320" s="8" t="s">
        <v>258</v>
      </c>
      <c r="I320" s="8"/>
      <c r="J320" s="8" t="s">
        <v>1925</v>
      </c>
    </row>
    <row r="321" customFormat="false" ht="15" hidden="false" customHeight="false" outlineLevel="0" collapsed="false">
      <c r="A321" s="8" t="s">
        <v>1926</v>
      </c>
      <c r="B321" s="8" t="s">
        <v>1902</v>
      </c>
      <c r="C321" s="9" t="n">
        <v>3</v>
      </c>
      <c r="D321" s="10" t="s">
        <v>1927</v>
      </c>
      <c r="E321" s="8"/>
      <c r="F321" s="8" t="s">
        <v>1928</v>
      </c>
      <c r="G321" s="8" t="s">
        <v>1929</v>
      </c>
      <c r="H321" s="8" t="s">
        <v>258</v>
      </c>
      <c r="I321" s="8"/>
      <c r="J321" s="8" t="s">
        <v>1930</v>
      </c>
    </row>
    <row r="322" customFormat="false" ht="15" hidden="false" customHeight="false" outlineLevel="0" collapsed="false">
      <c r="A322" s="8" t="s">
        <v>1931</v>
      </c>
      <c r="B322" s="8" t="s">
        <v>1902</v>
      </c>
      <c r="C322" s="9" t="n">
        <v>3</v>
      </c>
      <c r="D322" s="10" t="s">
        <v>1932</v>
      </c>
      <c r="E322" s="8" t="s">
        <v>1933</v>
      </c>
      <c r="F322" s="8" t="s">
        <v>1934</v>
      </c>
      <c r="G322" s="8" t="s">
        <v>1935</v>
      </c>
      <c r="H322" s="8" t="s">
        <v>280</v>
      </c>
      <c r="I322" s="8"/>
      <c r="J322" s="8" t="s">
        <v>1936</v>
      </c>
    </row>
    <row r="323" customFormat="false" ht="15" hidden="false" customHeight="false" outlineLevel="0" collapsed="false">
      <c r="A323" s="8" t="s">
        <v>1937</v>
      </c>
      <c r="B323" s="8" t="s">
        <v>1902</v>
      </c>
      <c r="C323" s="9" t="n">
        <v>3</v>
      </c>
      <c r="D323" s="10" t="s">
        <v>1938</v>
      </c>
      <c r="E323" s="8" t="s">
        <v>1939</v>
      </c>
      <c r="F323" s="8" t="s">
        <v>1940</v>
      </c>
      <c r="G323" s="8" t="s">
        <v>1941</v>
      </c>
      <c r="H323" s="8" t="s">
        <v>15</v>
      </c>
      <c r="I323" s="8"/>
      <c r="J323" s="8" t="s">
        <v>1942</v>
      </c>
    </row>
    <row r="324" customFormat="false" ht="23.85" hidden="false" customHeight="false" outlineLevel="0" collapsed="false">
      <c r="A324" s="8" t="s">
        <v>1943</v>
      </c>
      <c r="B324" s="8" t="s">
        <v>1902</v>
      </c>
      <c r="C324" s="9" t="n">
        <v>3</v>
      </c>
      <c r="D324" s="10" t="s">
        <v>1944</v>
      </c>
      <c r="E324" s="8"/>
      <c r="F324" s="8" t="s">
        <v>1945</v>
      </c>
      <c r="G324" s="8" t="s">
        <v>1946</v>
      </c>
      <c r="H324" s="8" t="s">
        <v>280</v>
      </c>
      <c r="I324" s="8" t="s">
        <v>1947</v>
      </c>
      <c r="J324" s="8" t="s">
        <v>1948</v>
      </c>
    </row>
    <row r="325" customFormat="false" ht="15" hidden="false" customHeight="false" outlineLevel="0" collapsed="false">
      <c r="A325" s="5" t="s">
        <v>1949</v>
      </c>
      <c r="B325" s="5" t="s">
        <v>1722</v>
      </c>
      <c r="C325" s="6" t="n">
        <v>2</v>
      </c>
      <c r="D325" s="7" t="s">
        <v>1950</v>
      </c>
      <c r="E325" s="5" t="s">
        <v>1951</v>
      </c>
      <c r="F325" s="5" t="s">
        <v>1952</v>
      </c>
      <c r="G325" s="5" t="s">
        <v>1953</v>
      </c>
      <c r="H325" s="5" t="s">
        <v>258</v>
      </c>
      <c r="I325" s="5"/>
      <c r="J325" s="5" t="s">
        <v>1954</v>
      </c>
    </row>
    <row r="326" customFormat="false" ht="15" hidden="false" customHeight="false" outlineLevel="0" collapsed="false">
      <c r="A326" s="8" t="s">
        <v>1955</v>
      </c>
      <c r="B326" s="8" t="s">
        <v>1949</v>
      </c>
      <c r="C326" s="9" t="n">
        <v>3</v>
      </c>
      <c r="D326" s="10" t="s">
        <v>1956</v>
      </c>
      <c r="E326" s="8"/>
      <c r="F326" s="8" t="s">
        <v>1957</v>
      </c>
      <c r="G326" s="8" t="s">
        <v>1958</v>
      </c>
      <c r="H326" s="8" t="s">
        <v>258</v>
      </c>
      <c r="I326" s="8"/>
      <c r="J326" s="8" t="s">
        <v>1959</v>
      </c>
    </row>
    <row r="327" customFormat="false" ht="15" hidden="false" customHeight="false" outlineLevel="0" collapsed="false">
      <c r="A327" s="8" t="s">
        <v>1960</v>
      </c>
      <c r="B327" s="8" t="s">
        <v>1949</v>
      </c>
      <c r="C327" s="9" t="n">
        <v>3</v>
      </c>
      <c r="D327" s="10" t="s">
        <v>1961</v>
      </c>
      <c r="E327" s="8"/>
      <c r="F327" s="8" t="s">
        <v>1962</v>
      </c>
      <c r="G327" s="8" t="s">
        <v>1963</v>
      </c>
      <c r="H327" s="8" t="s">
        <v>258</v>
      </c>
      <c r="I327" s="8"/>
      <c r="J327" s="8" t="s">
        <v>1964</v>
      </c>
    </row>
    <row r="328" customFormat="false" ht="23.85" hidden="false" customHeight="false" outlineLevel="0" collapsed="false">
      <c r="A328" s="8" t="s">
        <v>1965</v>
      </c>
      <c r="B328" s="8" t="s">
        <v>1949</v>
      </c>
      <c r="C328" s="9" t="n">
        <v>3</v>
      </c>
      <c r="D328" s="10" t="s">
        <v>1966</v>
      </c>
      <c r="E328" s="8"/>
      <c r="F328" s="8" t="s">
        <v>1967</v>
      </c>
      <c r="G328" s="8" t="s">
        <v>1968</v>
      </c>
      <c r="H328" s="8" t="s">
        <v>258</v>
      </c>
      <c r="I328" s="8" t="s">
        <v>1969</v>
      </c>
      <c r="J328" s="8" t="s">
        <v>1970</v>
      </c>
    </row>
    <row r="329" customFormat="false" ht="23.85" hidden="false" customHeight="false" outlineLevel="0" collapsed="false">
      <c r="A329" s="2" t="s">
        <v>1971</v>
      </c>
      <c r="B329" s="2"/>
      <c r="C329" s="3" t="n">
        <v>1</v>
      </c>
      <c r="D329" s="4" t="s">
        <v>1972</v>
      </c>
      <c r="E329" s="2" t="s">
        <v>1973</v>
      </c>
      <c r="F329" s="2" t="s">
        <v>1974</v>
      </c>
      <c r="G329" s="2" t="s">
        <v>1975</v>
      </c>
      <c r="H329" s="2" t="s">
        <v>280</v>
      </c>
      <c r="I329" s="2" t="s">
        <v>1976</v>
      </c>
      <c r="J329" s="2" t="s">
        <v>1972</v>
      </c>
    </row>
    <row r="330" customFormat="false" ht="23.85" hidden="false" customHeight="false" outlineLevel="0" collapsed="false">
      <c r="A330" s="5" t="s">
        <v>1977</v>
      </c>
      <c r="B330" s="5" t="s">
        <v>1971</v>
      </c>
      <c r="C330" s="6" t="n">
        <v>2</v>
      </c>
      <c r="D330" s="7" t="s">
        <v>1978</v>
      </c>
      <c r="E330" s="5" t="s">
        <v>1979</v>
      </c>
      <c r="F330" s="5" t="s">
        <v>1980</v>
      </c>
      <c r="G330" s="5" t="s">
        <v>1981</v>
      </c>
      <c r="H330" s="5" t="s">
        <v>280</v>
      </c>
      <c r="I330" s="5" t="s">
        <v>1982</v>
      </c>
      <c r="J330" s="5" t="s">
        <v>1983</v>
      </c>
    </row>
    <row r="331" customFormat="false" ht="15" hidden="false" customHeight="false" outlineLevel="0" collapsed="false">
      <c r="A331" s="8" t="s">
        <v>1984</v>
      </c>
      <c r="B331" s="8" t="s">
        <v>1977</v>
      </c>
      <c r="C331" s="9" t="n">
        <v>3</v>
      </c>
      <c r="D331" s="10" t="s">
        <v>1985</v>
      </c>
      <c r="E331" s="8"/>
      <c r="F331" s="8" t="s">
        <v>1986</v>
      </c>
      <c r="G331" s="8" t="s">
        <v>1987</v>
      </c>
      <c r="H331" s="8" t="s">
        <v>258</v>
      </c>
      <c r="I331" s="8"/>
      <c r="J331" s="8" t="s">
        <v>1988</v>
      </c>
    </row>
    <row r="332" customFormat="false" ht="15" hidden="false" customHeight="false" outlineLevel="0" collapsed="false">
      <c r="A332" s="8" t="s">
        <v>1989</v>
      </c>
      <c r="B332" s="8" t="s">
        <v>1984</v>
      </c>
      <c r="C332" s="9" t="n">
        <v>4</v>
      </c>
      <c r="D332" s="11" t="s">
        <v>1990</v>
      </c>
      <c r="E332" s="8" t="s">
        <v>1991</v>
      </c>
      <c r="F332" s="8" t="s">
        <v>1992</v>
      </c>
      <c r="G332" s="8" t="s">
        <v>1993</v>
      </c>
      <c r="H332" s="8" t="s">
        <v>258</v>
      </c>
      <c r="I332" s="8"/>
      <c r="J332" s="8" t="s">
        <v>1994</v>
      </c>
    </row>
    <row r="333" customFormat="false" ht="15" hidden="false" customHeight="false" outlineLevel="0" collapsed="false">
      <c r="A333" s="8" t="s">
        <v>1995</v>
      </c>
      <c r="B333" s="8" t="s">
        <v>1984</v>
      </c>
      <c r="C333" s="9" t="n">
        <v>4</v>
      </c>
      <c r="D333" s="11" t="s">
        <v>1996</v>
      </c>
      <c r="E333" s="8"/>
      <c r="F333" s="8" t="s">
        <v>1997</v>
      </c>
      <c r="G333" s="8" t="s">
        <v>1998</v>
      </c>
      <c r="H333" s="8" t="s">
        <v>258</v>
      </c>
      <c r="I333" s="8" t="s">
        <v>1999</v>
      </c>
      <c r="J333" s="8" t="s">
        <v>2000</v>
      </c>
    </row>
    <row r="334" customFormat="false" ht="15" hidden="false" customHeight="false" outlineLevel="0" collapsed="false">
      <c r="A334" s="8" t="s">
        <v>2001</v>
      </c>
      <c r="B334" s="8" t="s">
        <v>1984</v>
      </c>
      <c r="C334" s="9" t="n">
        <v>4</v>
      </c>
      <c r="D334" s="11" t="s">
        <v>2002</v>
      </c>
      <c r="E334" s="8" t="s">
        <v>2003</v>
      </c>
      <c r="F334" s="8" t="s">
        <v>2004</v>
      </c>
      <c r="G334" s="8" t="s">
        <v>2005</v>
      </c>
      <c r="H334" s="8" t="s">
        <v>258</v>
      </c>
      <c r="I334" s="8"/>
      <c r="J334" s="8" t="s">
        <v>2006</v>
      </c>
    </row>
    <row r="335" customFormat="false" ht="15" hidden="false" customHeight="false" outlineLevel="0" collapsed="false">
      <c r="A335" s="8" t="s">
        <v>2007</v>
      </c>
      <c r="B335" s="8" t="s">
        <v>1984</v>
      </c>
      <c r="C335" s="9" t="n">
        <v>4</v>
      </c>
      <c r="D335" s="11" t="s">
        <v>2008</v>
      </c>
      <c r="E335" s="8"/>
      <c r="F335" s="8" t="s">
        <v>2009</v>
      </c>
      <c r="G335" s="8" t="s">
        <v>2010</v>
      </c>
      <c r="H335" s="8" t="s">
        <v>258</v>
      </c>
      <c r="I335" s="8"/>
      <c r="J335" s="8" t="s">
        <v>2011</v>
      </c>
    </row>
    <row r="336" customFormat="false" ht="15" hidden="false" customHeight="false" outlineLevel="0" collapsed="false">
      <c r="A336" s="8" t="s">
        <v>2012</v>
      </c>
      <c r="B336" s="8" t="s">
        <v>1984</v>
      </c>
      <c r="C336" s="9" t="n">
        <v>4</v>
      </c>
      <c r="D336" s="11" t="s">
        <v>2013</v>
      </c>
      <c r="E336" s="8" t="s">
        <v>2014</v>
      </c>
      <c r="F336" s="8" t="s">
        <v>2015</v>
      </c>
      <c r="G336" s="8" t="s">
        <v>2016</v>
      </c>
      <c r="H336" s="8" t="s">
        <v>258</v>
      </c>
      <c r="I336" s="8"/>
      <c r="J336" s="8" t="s">
        <v>2017</v>
      </c>
    </row>
    <row r="337" customFormat="false" ht="23.85" hidden="false" customHeight="false" outlineLevel="0" collapsed="false">
      <c r="A337" s="8" t="s">
        <v>2018</v>
      </c>
      <c r="B337" s="8" t="s">
        <v>1984</v>
      </c>
      <c r="C337" s="9" t="n">
        <v>4</v>
      </c>
      <c r="D337" s="11" t="s">
        <v>2019</v>
      </c>
      <c r="E337" s="8"/>
      <c r="F337" s="8" t="s">
        <v>2020</v>
      </c>
      <c r="G337" s="8" t="s">
        <v>2021</v>
      </c>
      <c r="H337" s="8" t="s">
        <v>258</v>
      </c>
      <c r="I337" s="8" t="s">
        <v>2022</v>
      </c>
      <c r="J337" s="8" t="s">
        <v>2023</v>
      </c>
    </row>
    <row r="338" customFormat="false" ht="15" hidden="false" customHeight="false" outlineLevel="0" collapsed="false">
      <c r="A338" s="8" t="s">
        <v>2024</v>
      </c>
      <c r="B338" s="8" t="s">
        <v>1977</v>
      </c>
      <c r="C338" s="9" t="n">
        <v>3</v>
      </c>
      <c r="D338" s="10" t="s">
        <v>2025</v>
      </c>
      <c r="E338" s="8"/>
      <c r="F338" s="8" t="s">
        <v>2026</v>
      </c>
      <c r="G338" s="8" t="s">
        <v>2027</v>
      </c>
      <c r="H338" s="8" t="s">
        <v>258</v>
      </c>
      <c r="I338" s="8"/>
      <c r="J338" s="8" t="s">
        <v>2028</v>
      </c>
    </row>
    <row r="339" customFormat="false" ht="23.85" hidden="false" customHeight="false" outlineLevel="0" collapsed="false">
      <c r="A339" s="8" t="s">
        <v>2029</v>
      </c>
      <c r="B339" s="8" t="s">
        <v>2024</v>
      </c>
      <c r="C339" s="9" t="n">
        <v>4</v>
      </c>
      <c r="D339" s="11" t="s">
        <v>2030</v>
      </c>
      <c r="E339" s="8"/>
      <c r="F339" s="8" t="s">
        <v>2031</v>
      </c>
      <c r="G339" s="8" t="s">
        <v>2032</v>
      </c>
      <c r="H339" s="8" t="s">
        <v>258</v>
      </c>
      <c r="I339" s="8" t="s">
        <v>2033</v>
      </c>
      <c r="J339" s="8" t="s">
        <v>2034</v>
      </c>
    </row>
    <row r="340" customFormat="false" ht="15" hidden="false" customHeight="false" outlineLevel="0" collapsed="false">
      <c r="A340" s="8" t="s">
        <v>2035</v>
      </c>
      <c r="B340" s="8" t="s">
        <v>2024</v>
      </c>
      <c r="C340" s="9" t="n">
        <v>4</v>
      </c>
      <c r="D340" s="11" t="s">
        <v>2036</v>
      </c>
      <c r="E340" s="8"/>
      <c r="F340" s="8" t="s">
        <v>2037</v>
      </c>
      <c r="G340" s="8" t="s">
        <v>2038</v>
      </c>
      <c r="H340" s="8" t="s">
        <v>258</v>
      </c>
      <c r="I340" s="8" t="s">
        <v>2039</v>
      </c>
      <c r="J340" s="8" t="s">
        <v>2040</v>
      </c>
    </row>
    <row r="341" customFormat="false" ht="15" hidden="false" customHeight="false" outlineLevel="0" collapsed="false">
      <c r="A341" s="8" t="s">
        <v>2041</v>
      </c>
      <c r="B341" s="8" t="s">
        <v>2024</v>
      </c>
      <c r="C341" s="9" t="n">
        <v>4</v>
      </c>
      <c r="D341" s="11" t="s">
        <v>2042</v>
      </c>
      <c r="E341" s="8"/>
      <c r="F341" s="8" t="s">
        <v>2043</v>
      </c>
      <c r="G341" s="8" t="s">
        <v>2044</v>
      </c>
      <c r="H341" s="8" t="s">
        <v>258</v>
      </c>
      <c r="I341" s="8"/>
      <c r="J341" s="8" t="s">
        <v>2045</v>
      </c>
    </row>
    <row r="342" customFormat="false" ht="15" hidden="false" customHeight="false" outlineLevel="0" collapsed="false">
      <c r="A342" s="8" t="s">
        <v>2046</v>
      </c>
      <c r="B342" s="8" t="s">
        <v>2024</v>
      </c>
      <c r="C342" s="9" t="n">
        <v>4</v>
      </c>
      <c r="D342" s="11" t="s">
        <v>2047</v>
      </c>
      <c r="E342" s="8"/>
      <c r="F342" s="8" t="s">
        <v>2048</v>
      </c>
      <c r="G342" s="8" t="s">
        <v>2049</v>
      </c>
      <c r="H342" s="8" t="s">
        <v>258</v>
      </c>
      <c r="I342" s="8"/>
      <c r="J342" s="8" t="s">
        <v>2050</v>
      </c>
    </row>
    <row r="343" customFormat="false" ht="15" hidden="false" customHeight="false" outlineLevel="0" collapsed="false">
      <c r="A343" s="8" t="s">
        <v>2051</v>
      </c>
      <c r="B343" s="8" t="s">
        <v>1977</v>
      </c>
      <c r="C343" s="9" t="n">
        <v>3</v>
      </c>
      <c r="D343" s="10" t="s">
        <v>2052</v>
      </c>
      <c r="E343" s="8" t="s">
        <v>2053</v>
      </c>
      <c r="F343" s="8" t="s">
        <v>2054</v>
      </c>
      <c r="G343" s="8" t="s">
        <v>2055</v>
      </c>
      <c r="H343" s="8" t="s">
        <v>15</v>
      </c>
      <c r="I343" s="8" t="s">
        <v>2056</v>
      </c>
      <c r="J343" s="8" t="s">
        <v>2057</v>
      </c>
    </row>
    <row r="344" customFormat="false" ht="23.85" hidden="false" customHeight="false" outlineLevel="0" collapsed="false">
      <c r="A344" s="5" t="s">
        <v>2058</v>
      </c>
      <c r="B344" s="5" t="s">
        <v>1971</v>
      </c>
      <c r="C344" s="6" t="n">
        <v>2</v>
      </c>
      <c r="D344" s="7" t="s">
        <v>2059</v>
      </c>
      <c r="E344" s="5" t="s">
        <v>2060</v>
      </c>
      <c r="F344" s="5" t="s">
        <v>2061</v>
      </c>
      <c r="G344" s="5" t="s">
        <v>2062</v>
      </c>
      <c r="H344" s="5" t="s">
        <v>258</v>
      </c>
      <c r="I344" s="5" t="s">
        <v>2063</v>
      </c>
      <c r="J344" s="5" t="s">
        <v>2064</v>
      </c>
    </row>
    <row r="345" customFormat="false" ht="23.85" hidden="false" customHeight="false" outlineLevel="0" collapsed="false">
      <c r="A345" s="8" t="s">
        <v>2065</v>
      </c>
      <c r="B345" s="8" t="s">
        <v>2058</v>
      </c>
      <c r="C345" s="9" t="n">
        <v>3</v>
      </c>
      <c r="D345" s="10" t="s">
        <v>2066</v>
      </c>
      <c r="E345" s="8" t="s">
        <v>2067</v>
      </c>
      <c r="F345" s="8" t="s">
        <v>2068</v>
      </c>
      <c r="G345" s="8" t="s">
        <v>2069</v>
      </c>
      <c r="H345" s="8" t="s">
        <v>280</v>
      </c>
      <c r="I345" s="8" t="s">
        <v>2070</v>
      </c>
      <c r="J345" s="8" t="s">
        <v>2071</v>
      </c>
    </row>
    <row r="346" customFormat="false" ht="15" hidden="false" customHeight="false" outlineLevel="0" collapsed="false">
      <c r="A346" s="8" t="s">
        <v>2072</v>
      </c>
      <c r="B346" s="8" t="s">
        <v>2065</v>
      </c>
      <c r="C346" s="9" t="n">
        <v>4</v>
      </c>
      <c r="D346" s="11" t="s">
        <v>2073</v>
      </c>
      <c r="E346" s="8"/>
      <c r="F346" s="8" t="s">
        <v>2074</v>
      </c>
      <c r="G346" s="8" t="s">
        <v>2075</v>
      </c>
      <c r="H346" s="8" t="s">
        <v>280</v>
      </c>
      <c r="I346" s="8"/>
      <c r="J346" s="8" t="s">
        <v>2076</v>
      </c>
    </row>
    <row r="347" customFormat="false" ht="15" hidden="false" customHeight="false" outlineLevel="0" collapsed="false">
      <c r="A347" s="8" t="s">
        <v>2077</v>
      </c>
      <c r="B347" s="8" t="s">
        <v>2065</v>
      </c>
      <c r="C347" s="9" t="n">
        <v>4</v>
      </c>
      <c r="D347" s="11" t="s">
        <v>2078</v>
      </c>
      <c r="E347" s="8"/>
      <c r="F347" s="8" t="s">
        <v>2079</v>
      </c>
      <c r="G347" s="8" t="s">
        <v>2080</v>
      </c>
      <c r="H347" s="8" t="s">
        <v>258</v>
      </c>
      <c r="I347" s="8"/>
      <c r="J347" s="8" t="s">
        <v>2081</v>
      </c>
    </row>
    <row r="348" customFormat="false" ht="23.85" hidden="false" customHeight="false" outlineLevel="0" collapsed="false">
      <c r="A348" s="8" t="s">
        <v>2082</v>
      </c>
      <c r="B348" s="8" t="s">
        <v>2065</v>
      </c>
      <c r="C348" s="9" t="n">
        <v>4</v>
      </c>
      <c r="D348" s="11" t="s">
        <v>2083</v>
      </c>
      <c r="E348" s="8"/>
      <c r="F348" s="8" t="s">
        <v>2084</v>
      </c>
      <c r="G348" s="8" t="s">
        <v>2085</v>
      </c>
      <c r="H348" s="8" t="s">
        <v>280</v>
      </c>
      <c r="I348" s="8"/>
      <c r="J348" s="8" t="s">
        <v>2086</v>
      </c>
    </row>
    <row r="349" customFormat="false" ht="23.85" hidden="false" customHeight="false" outlineLevel="0" collapsed="false">
      <c r="A349" s="8" t="s">
        <v>2087</v>
      </c>
      <c r="B349" s="8" t="s">
        <v>2065</v>
      </c>
      <c r="C349" s="9" t="n">
        <v>4</v>
      </c>
      <c r="D349" s="11" t="s">
        <v>2088</v>
      </c>
      <c r="E349" s="8" t="s">
        <v>2089</v>
      </c>
      <c r="F349" s="8" t="s">
        <v>2090</v>
      </c>
      <c r="G349" s="8" t="s">
        <v>2091</v>
      </c>
      <c r="H349" s="8" t="s">
        <v>280</v>
      </c>
      <c r="I349" s="8"/>
      <c r="J349" s="8" t="s">
        <v>2092</v>
      </c>
    </row>
    <row r="350" customFormat="false" ht="23.85" hidden="false" customHeight="false" outlineLevel="0" collapsed="false">
      <c r="A350" s="8" t="s">
        <v>2093</v>
      </c>
      <c r="B350" s="8" t="s">
        <v>2058</v>
      </c>
      <c r="C350" s="9" t="n">
        <v>3</v>
      </c>
      <c r="D350" s="10" t="s">
        <v>2094</v>
      </c>
      <c r="E350" s="8" t="s">
        <v>2095</v>
      </c>
      <c r="F350" s="8" t="s">
        <v>2096</v>
      </c>
      <c r="G350" s="8" t="s">
        <v>2097</v>
      </c>
      <c r="H350" s="8" t="s">
        <v>258</v>
      </c>
      <c r="I350" s="8" t="s">
        <v>2098</v>
      </c>
      <c r="J350" s="8" t="s">
        <v>2099</v>
      </c>
    </row>
    <row r="351" customFormat="false" ht="15" hidden="false" customHeight="false" outlineLevel="0" collapsed="false">
      <c r="A351" s="8" t="s">
        <v>2100</v>
      </c>
      <c r="B351" s="8" t="s">
        <v>2058</v>
      </c>
      <c r="C351" s="9" t="n">
        <v>3</v>
      </c>
      <c r="D351" s="10" t="s">
        <v>2101</v>
      </c>
      <c r="E351" s="8" t="s">
        <v>2102</v>
      </c>
      <c r="F351" s="8" t="s">
        <v>2103</v>
      </c>
      <c r="G351" s="8" t="s">
        <v>2104</v>
      </c>
      <c r="H351" s="8" t="s">
        <v>258</v>
      </c>
      <c r="I351" s="8"/>
      <c r="J351" s="8" t="s">
        <v>2105</v>
      </c>
    </row>
    <row r="352" customFormat="false" ht="23.85" hidden="false" customHeight="false" outlineLevel="0" collapsed="false">
      <c r="A352" s="8" t="s">
        <v>2106</v>
      </c>
      <c r="B352" s="8" t="s">
        <v>2058</v>
      </c>
      <c r="C352" s="9" t="n">
        <v>3</v>
      </c>
      <c r="D352" s="10" t="s">
        <v>2107</v>
      </c>
      <c r="E352" s="8" t="s">
        <v>2108</v>
      </c>
      <c r="F352" s="8" t="s">
        <v>2109</v>
      </c>
      <c r="G352" s="8" t="s">
        <v>2110</v>
      </c>
      <c r="H352" s="8" t="s">
        <v>258</v>
      </c>
      <c r="I352" s="8"/>
      <c r="J352" s="8" t="s">
        <v>2111</v>
      </c>
    </row>
    <row r="353" customFormat="false" ht="15" hidden="false" customHeight="false" outlineLevel="0" collapsed="false">
      <c r="A353" s="8" t="s">
        <v>2112</v>
      </c>
      <c r="B353" s="8" t="s">
        <v>2058</v>
      </c>
      <c r="C353" s="9" t="n">
        <v>3</v>
      </c>
      <c r="D353" s="10" t="s">
        <v>2113</v>
      </c>
      <c r="E353" s="8" t="s">
        <v>2114</v>
      </c>
      <c r="F353" s="8" t="s">
        <v>2115</v>
      </c>
      <c r="G353" s="8" t="s">
        <v>2116</v>
      </c>
      <c r="H353" s="8" t="s">
        <v>258</v>
      </c>
      <c r="I353" s="8"/>
      <c r="J353" s="8" t="s">
        <v>2117</v>
      </c>
    </row>
    <row r="354" customFormat="false" ht="15" hidden="false" customHeight="false" outlineLevel="0" collapsed="false">
      <c r="A354" s="8" t="s">
        <v>2118</v>
      </c>
      <c r="B354" s="8" t="s">
        <v>2058</v>
      </c>
      <c r="C354" s="9" t="n">
        <v>3</v>
      </c>
      <c r="D354" s="10" t="s">
        <v>2119</v>
      </c>
      <c r="E354" s="8" t="s">
        <v>2120</v>
      </c>
      <c r="F354" s="8" t="s">
        <v>2121</v>
      </c>
      <c r="G354" s="8" t="s">
        <v>2122</v>
      </c>
      <c r="H354" s="8" t="s">
        <v>258</v>
      </c>
      <c r="I354" s="8"/>
      <c r="J354" s="8" t="s">
        <v>2123</v>
      </c>
    </row>
    <row r="355" customFormat="false" ht="15" hidden="false" customHeight="false" outlineLevel="0" collapsed="false">
      <c r="A355" s="8" t="s">
        <v>2124</v>
      </c>
      <c r="B355" s="8" t="s">
        <v>2058</v>
      </c>
      <c r="C355" s="9" t="n">
        <v>3</v>
      </c>
      <c r="D355" s="10" t="s">
        <v>2125</v>
      </c>
      <c r="E355" s="8"/>
      <c r="F355" s="8" t="s">
        <v>2126</v>
      </c>
      <c r="G355" s="8" t="s">
        <v>2127</v>
      </c>
      <c r="H355" s="8" t="s">
        <v>258</v>
      </c>
      <c r="I355" s="8" t="s">
        <v>2128</v>
      </c>
      <c r="J355" s="8" t="s">
        <v>2129</v>
      </c>
    </row>
    <row r="356" customFormat="false" ht="23.85" hidden="false" customHeight="false" outlineLevel="0" collapsed="false">
      <c r="A356" s="8" t="s">
        <v>2130</v>
      </c>
      <c r="B356" s="8" t="s">
        <v>2058</v>
      </c>
      <c r="C356" s="9" t="n">
        <v>3</v>
      </c>
      <c r="D356" s="10" t="s">
        <v>2131</v>
      </c>
      <c r="E356" s="8"/>
      <c r="F356" s="8" t="s">
        <v>2132</v>
      </c>
      <c r="G356" s="8" t="s">
        <v>2133</v>
      </c>
      <c r="H356" s="8" t="s">
        <v>258</v>
      </c>
      <c r="I356" s="8" t="s">
        <v>2134</v>
      </c>
      <c r="J356" s="8" t="s">
        <v>2135</v>
      </c>
    </row>
    <row r="357" customFormat="false" ht="15" hidden="false" customHeight="false" outlineLevel="0" collapsed="false">
      <c r="A357" s="8" t="s">
        <v>2136</v>
      </c>
      <c r="B357" s="8" t="s">
        <v>2058</v>
      </c>
      <c r="C357" s="9" t="n">
        <v>3</v>
      </c>
      <c r="D357" s="10" t="s">
        <v>2137</v>
      </c>
      <c r="E357" s="8"/>
      <c r="F357" s="8" t="s">
        <v>2138</v>
      </c>
      <c r="G357" s="8" t="s">
        <v>2139</v>
      </c>
      <c r="H357" s="8" t="s">
        <v>258</v>
      </c>
      <c r="I357" s="8"/>
      <c r="J357" s="8" t="s">
        <v>2140</v>
      </c>
    </row>
    <row r="358" customFormat="false" ht="15" hidden="false" customHeight="false" outlineLevel="0" collapsed="false">
      <c r="A358" s="5" t="s">
        <v>2141</v>
      </c>
      <c r="B358" s="5" t="s">
        <v>1971</v>
      </c>
      <c r="C358" s="6" t="n">
        <v>2</v>
      </c>
      <c r="D358" s="7" t="s">
        <v>2142</v>
      </c>
      <c r="E358" s="5" t="s">
        <v>2143</v>
      </c>
      <c r="F358" s="5" t="s">
        <v>2144</v>
      </c>
      <c r="G358" s="5" t="s">
        <v>2145</v>
      </c>
      <c r="H358" s="5" t="s">
        <v>258</v>
      </c>
      <c r="I358" s="5"/>
      <c r="J358" s="5" t="s">
        <v>2146</v>
      </c>
    </row>
    <row r="359" customFormat="false" ht="23.85" hidden="false" customHeight="false" outlineLevel="0" collapsed="false">
      <c r="A359" s="8" t="s">
        <v>2147</v>
      </c>
      <c r="B359" s="8" t="s">
        <v>2141</v>
      </c>
      <c r="C359" s="9" t="n">
        <v>3</v>
      </c>
      <c r="D359" s="10" t="s">
        <v>2148</v>
      </c>
      <c r="E359" s="8" t="s">
        <v>2149</v>
      </c>
      <c r="F359" s="8" t="s">
        <v>2150</v>
      </c>
      <c r="G359" s="8" t="s">
        <v>2151</v>
      </c>
      <c r="H359" s="8" t="s">
        <v>258</v>
      </c>
      <c r="I359" s="8" t="s">
        <v>2152</v>
      </c>
      <c r="J359" s="8" t="s">
        <v>2153</v>
      </c>
    </row>
    <row r="360" customFormat="false" ht="23.85" hidden="false" customHeight="false" outlineLevel="0" collapsed="false">
      <c r="A360" s="8" t="s">
        <v>2154</v>
      </c>
      <c r="B360" s="8" t="s">
        <v>2147</v>
      </c>
      <c r="C360" s="9" t="n">
        <v>4</v>
      </c>
      <c r="D360" s="11" t="s">
        <v>2155</v>
      </c>
      <c r="E360" s="8" t="s">
        <v>2156</v>
      </c>
      <c r="F360" s="8" t="s">
        <v>2157</v>
      </c>
      <c r="G360" s="8" t="s">
        <v>2158</v>
      </c>
      <c r="H360" s="8" t="s">
        <v>258</v>
      </c>
      <c r="I360" s="8"/>
      <c r="J360" s="8" t="s">
        <v>2159</v>
      </c>
    </row>
    <row r="361" customFormat="false" ht="15" hidden="false" customHeight="false" outlineLevel="0" collapsed="false">
      <c r="A361" s="8" t="s">
        <v>2160</v>
      </c>
      <c r="B361" s="8" t="s">
        <v>2147</v>
      </c>
      <c r="C361" s="9" t="n">
        <v>4</v>
      </c>
      <c r="D361" s="11" t="s">
        <v>2161</v>
      </c>
      <c r="E361" s="8" t="s">
        <v>2162</v>
      </c>
      <c r="F361" s="8" t="s">
        <v>2163</v>
      </c>
      <c r="G361" s="8" t="s">
        <v>2164</v>
      </c>
      <c r="H361" s="8" t="s">
        <v>258</v>
      </c>
      <c r="I361" s="8"/>
      <c r="J361" s="8" t="s">
        <v>2165</v>
      </c>
    </row>
    <row r="362" customFormat="false" ht="23.85" hidden="false" customHeight="false" outlineLevel="0" collapsed="false">
      <c r="A362" s="8" t="s">
        <v>2166</v>
      </c>
      <c r="B362" s="8" t="s">
        <v>2147</v>
      </c>
      <c r="C362" s="9" t="n">
        <v>4</v>
      </c>
      <c r="D362" s="11" t="s">
        <v>2167</v>
      </c>
      <c r="E362" s="8" t="s">
        <v>2168</v>
      </c>
      <c r="F362" s="8" t="s">
        <v>2169</v>
      </c>
      <c r="G362" s="8" t="s">
        <v>2170</v>
      </c>
      <c r="H362" s="8" t="s">
        <v>258</v>
      </c>
      <c r="I362" s="8" t="s">
        <v>2171</v>
      </c>
      <c r="J362" s="8" t="s">
        <v>2172</v>
      </c>
    </row>
    <row r="363" customFormat="false" ht="15" hidden="false" customHeight="false" outlineLevel="0" collapsed="false">
      <c r="A363" s="8" t="s">
        <v>2173</v>
      </c>
      <c r="B363" s="8" t="s">
        <v>2147</v>
      </c>
      <c r="C363" s="9" t="n">
        <v>4</v>
      </c>
      <c r="D363" s="11" t="s">
        <v>2174</v>
      </c>
      <c r="E363" s="8"/>
      <c r="F363" s="8" t="s">
        <v>2175</v>
      </c>
      <c r="G363" s="8" t="s">
        <v>2176</v>
      </c>
      <c r="H363" s="8" t="s">
        <v>258</v>
      </c>
      <c r="I363" s="8"/>
      <c r="J363" s="8" t="s">
        <v>2177</v>
      </c>
    </row>
    <row r="364" customFormat="false" ht="23.85" hidden="false" customHeight="false" outlineLevel="0" collapsed="false">
      <c r="A364" s="8" t="s">
        <v>2178</v>
      </c>
      <c r="B364" s="8" t="s">
        <v>2147</v>
      </c>
      <c r="C364" s="9" t="n">
        <v>4</v>
      </c>
      <c r="D364" s="11" t="s">
        <v>2179</v>
      </c>
      <c r="E364" s="8"/>
      <c r="F364" s="8" t="s">
        <v>2180</v>
      </c>
      <c r="G364" s="8" t="s">
        <v>2181</v>
      </c>
      <c r="H364" s="8" t="s">
        <v>258</v>
      </c>
      <c r="I364" s="8"/>
      <c r="J364" s="8" t="s">
        <v>2182</v>
      </c>
    </row>
    <row r="365" customFormat="false" ht="23.85" hidden="false" customHeight="false" outlineLevel="0" collapsed="false">
      <c r="A365" s="8" t="s">
        <v>2183</v>
      </c>
      <c r="B365" s="8" t="s">
        <v>2141</v>
      </c>
      <c r="C365" s="9" t="n">
        <v>3</v>
      </c>
      <c r="D365" s="10" t="s">
        <v>2184</v>
      </c>
      <c r="E365" s="8" t="s">
        <v>2185</v>
      </c>
      <c r="F365" s="8" t="s">
        <v>2186</v>
      </c>
      <c r="G365" s="8" t="s">
        <v>2187</v>
      </c>
      <c r="H365" s="8" t="s">
        <v>258</v>
      </c>
      <c r="I365" s="8" t="s">
        <v>2188</v>
      </c>
      <c r="J365" s="8" t="s">
        <v>2189</v>
      </c>
    </row>
    <row r="366" customFormat="false" ht="23.85" hidden="false" customHeight="false" outlineLevel="0" collapsed="false">
      <c r="A366" s="8" t="s">
        <v>2190</v>
      </c>
      <c r="B366" s="8" t="s">
        <v>2141</v>
      </c>
      <c r="C366" s="9" t="n">
        <v>3</v>
      </c>
      <c r="D366" s="10" t="s">
        <v>2191</v>
      </c>
      <c r="E366" s="8"/>
      <c r="F366" s="8" t="s">
        <v>2192</v>
      </c>
      <c r="G366" s="8" t="s">
        <v>2193</v>
      </c>
      <c r="H366" s="8" t="s">
        <v>258</v>
      </c>
      <c r="I366" s="8" t="s">
        <v>2194</v>
      </c>
      <c r="J366" s="8" t="s">
        <v>2195</v>
      </c>
    </row>
    <row r="367" customFormat="false" ht="23.85" hidden="false" customHeight="false" outlineLevel="0" collapsed="false">
      <c r="A367" s="5" t="s">
        <v>2196</v>
      </c>
      <c r="B367" s="5" t="s">
        <v>1971</v>
      </c>
      <c r="C367" s="6" t="n">
        <v>2</v>
      </c>
      <c r="D367" s="7" t="s">
        <v>2197</v>
      </c>
      <c r="E367" s="5" t="s">
        <v>2198</v>
      </c>
      <c r="F367" s="5" t="s">
        <v>2199</v>
      </c>
      <c r="G367" s="5" t="s">
        <v>2200</v>
      </c>
      <c r="H367" s="5" t="s">
        <v>258</v>
      </c>
      <c r="I367" s="5" t="s">
        <v>2201</v>
      </c>
      <c r="J367" s="5" t="s">
        <v>2202</v>
      </c>
    </row>
    <row r="368" customFormat="false" ht="23.85" hidden="false" customHeight="false" outlineLevel="0" collapsed="false">
      <c r="A368" s="5" t="s">
        <v>2203</v>
      </c>
      <c r="B368" s="5" t="s">
        <v>1971</v>
      </c>
      <c r="C368" s="6" t="n">
        <v>2</v>
      </c>
      <c r="D368" s="7" t="s">
        <v>2204</v>
      </c>
      <c r="E368" s="5"/>
      <c r="F368" s="5" t="s">
        <v>2205</v>
      </c>
      <c r="G368" s="5" t="s">
        <v>2206</v>
      </c>
      <c r="H368" s="5" t="s">
        <v>258</v>
      </c>
      <c r="I368" s="5" t="s">
        <v>2207</v>
      </c>
      <c r="J368" s="5" t="s">
        <v>2208</v>
      </c>
    </row>
    <row r="369" customFormat="false" ht="15" hidden="false" customHeight="false" outlineLevel="0" collapsed="false">
      <c r="A369" s="8" t="s">
        <v>2209</v>
      </c>
      <c r="B369" s="8" t="s">
        <v>2203</v>
      </c>
      <c r="C369" s="9" t="n">
        <v>3</v>
      </c>
      <c r="D369" s="10" t="s">
        <v>2210</v>
      </c>
      <c r="E369" s="8"/>
      <c r="F369" s="8" t="s">
        <v>2211</v>
      </c>
      <c r="G369" s="8" t="s">
        <v>2212</v>
      </c>
      <c r="H369" s="8" t="s">
        <v>258</v>
      </c>
      <c r="I369" s="8"/>
      <c r="J369" s="8" t="s">
        <v>2213</v>
      </c>
    </row>
    <row r="370" customFormat="false" ht="15" hidden="false" customHeight="false" outlineLevel="0" collapsed="false">
      <c r="A370" s="8" t="s">
        <v>2214</v>
      </c>
      <c r="B370" s="8" t="s">
        <v>2203</v>
      </c>
      <c r="C370" s="9" t="n">
        <v>3</v>
      </c>
      <c r="D370" s="10" t="s">
        <v>2215</v>
      </c>
      <c r="E370" s="8"/>
      <c r="F370" s="8" t="s">
        <v>2216</v>
      </c>
      <c r="G370" s="8" t="s">
        <v>2217</v>
      </c>
      <c r="H370" s="8" t="s">
        <v>258</v>
      </c>
      <c r="I370" s="8"/>
      <c r="J370" s="8" t="s">
        <v>2218</v>
      </c>
    </row>
    <row r="371" customFormat="false" ht="15" hidden="false" customHeight="false" outlineLevel="0" collapsed="false">
      <c r="A371" s="8" t="s">
        <v>2219</v>
      </c>
      <c r="B371" s="8" t="s">
        <v>2203</v>
      </c>
      <c r="C371" s="9" t="n">
        <v>3</v>
      </c>
      <c r="D371" s="10" t="s">
        <v>2220</v>
      </c>
      <c r="E371" s="8" t="s">
        <v>2221</v>
      </c>
      <c r="F371" s="8" t="s">
        <v>2222</v>
      </c>
      <c r="G371" s="8" t="s">
        <v>2223</v>
      </c>
      <c r="H371" s="8" t="s">
        <v>258</v>
      </c>
      <c r="I371" s="8"/>
      <c r="J371" s="8" t="s">
        <v>2224</v>
      </c>
    </row>
    <row r="372" customFormat="false" ht="15" hidden="false" customHeight="false" outlineLevel="0" collapsed="false">
      <c r="A372" s="8" t="s">
        <v>2225</v>
      </c>
      <c r="B372" s="8" t="s">
        <v>2203</v>
      </c>
      <c r="C372" s="9" t="n">
        <v>3</v>
      </c>
      <c r="D372" s="10" t="s">
        <v>2226</v>
      </c>
      <c r="E372" s="8" t="s">
        <v>2227</v>
      </c>
      <c r="F372" s="8" t="s">
        <v>2228</v>
      </c>
      <c r="G372" s="8" t="s">
        <v>2229</v>
      </c>
      <c r="H372" s="8" t="s">
        <v>258</v>
      </c>
      <c r="I372" s="8"/>
      <c r="J372" s="8" t="s">
        <v>2230</v>
      </c>
    </row>
    <row r="373" customFormat="false" ht="15" hidden="false" customHeight="false" outlineLevel="0" collapsed="false">
      <c r="A373" s="5" t="s">
        <v>2231</v>
      </c>
      <c r="B373" s="5" t="s">
        <v>1971</v>
      </c>
      <c r="C373" s="6" t="n">
        <v>2</v>
      </c>
      <c r="D373" s="7" t="s">
        <v>2232</v>
      </c>
      <c r="E373" s="5"/>
      <c r="F373" s="5" t="s">
        <v>2233</v>
      </c>
      <c r="G373" s="5" t="s">
        <v>2234</v>
      </c>
      <c r="H373" s="5" t="s">
        <v>280</v>
      </c>
      <c r="I373" s="5"/>
      <c r="J373" s="5" t="s">
        <v>2235</v>
      </c>
    </row>
    <row r="374" customFormat="false" ht="15" hidden="false" customHeight="false" outlineLevel="0" collapsed="false">
      <c r="A374" s="8" t="s">
        <v>2236</v>
      </c>
      <c r="B374" s="8" t="s">
        <v>2231</v>
      </c>
      <c r="C374" s="9" t="n">
        <v>3</v>
      </c>
      <c r="D374" s="10" t="s">
        <v>2237</v>
      </c>
      <c r="E374" s="8" t="s">
        <v>2238</v>
      </c>
      <c r="F374" s="8" t="s">
        <v>2239</v>
      </c>
      <c r="G374" s="8" t="s">
        <v>2240</v>
      </c>
      <c r="H374" s="8" t="s">
        <v>258</v>
      </c>
      <c r="I374" s="8"/>
      <c r="J374" s="8" t="s">
        <v>2241</v>
      </c>
    </row>
    <row r="375" customFormat="false" ht="15" hidden="false" customHeight="false" outlineLevel="0" collapsed="false">
      <c r="A375" s="8" t="s">
        <v>2242</v>
      </c>
      <c r="B375" s="8" t="s">
        <v>2231</v>
      </c>
      <c r="C375" s="9" t="n">
        <v>3</v>
      </c>
      <c r="D375" s="10" t="s">
        <v>2243</v>
      </c>
      <c r="E375" s="8"/>
      <c r="F375" s="8" t="s">
        <v>2244</v>
      </c>
      <c r="G375" s="8" t="s">
        <v>2245</v>
      </c>
      <c r="H375" s="8" t="s">
        <v>258</v>
      </c>
      <c r="I375" s="8"/>
      <c r="J375" s="8" t="s">
        <v>2246</v>
      </c>
    </row>
    <row r="376" customFormat="false" ht="23.85" hidden="false" customHeight="false" outlineLevel="0" collapsed="false">
      <c r="A376" s="8" t="s">
        <v>2247</v>
      </c>
      <c r="B376" s="8" t="s">
        <v>2231</v>
      </c>
      <c r="C376" s="9" t="n">
        <v>3</v>
      </c>
      <c r="D376" s="10" t="s">
        <v>2248</v>
      </c>
      <c r="E376" s="8" t="s">
        <v>2249</v>
      </c>
      <c r="F376" s="8" t="s">
        <v>2250</v>
      </c>
      <c r="G376" s="8" t="s">
        <v>2251</v>
      </c>
      <c r="H376" s="8" t="s">
        <v>15</v>
      </c>
      <c r="I376" s="8"/>
      <c r="J376" s="8" t="s">
        <v>2252</v>
      </c>
    </row>
    <row r="377" customFormat="false" ht="15" hidden="false" customHeight="false" outlineLevel="0" collapsed="false">
      <c r="A377" s="8" t="s">
        <v>2253</v>
      </c>
      <c r="B377" s="8" t="s">
        <v>2231</v>
      </c>
      <c r="C377" s="9" t="n">
        <v>3</v>
      </c>
      <c r="D377" s="10" t="s">
        <v>2254</v>
      </c>
      <c r="E377" s="8" t="s">
        <v>2255</v>
      </c>
      <c r="F377" s="8" t="s">
        <v>2256</v>
      </c>
      <c r="G377" s="8" t="s">
        <v>2257</v>
      </c>
      <c r="H377" s="8" t="s">
        <v>258</v>
      </c>
      <c r="I377" s="8"/>
      <c r="J377" s="8" t="s">
        <v>2258</v>
      </c>
    </row>
    <row r="378" customFormat="false" ht="15" hidden="false" customHeight="false" outlineLevel="0" collapsed="false">
      <c r="A378" s="8" t="s">
        <v>2259</v>
      </c>
      <c r="B378" s="8" t="s">
        <v>2231</v>
      </c>
      <c r="C378" s="9" t="n">
        <v>3</v>
      </c>
      <c r="D378" s="10" t="s">
        <v>2260</v>
      </c>
      <c r="E378" s="8"/>
      <c r="F378" s="8" t="s">
        <v>2261</v>
      </c>
      <c r="G378" s="8" t="s">
        <v>2262</v>
      </c>
      <c r="H378" s="8" t="s">
        <v>258</v>
      </c>
      <c r="I378" s="8"/>
      <c r="J378" s="8" t="s">
        <v>2263</v>
      </c>
    </row>
    <row r="379" customFormat="false" ht="23.85" hidden="false" customHeight="false" outlineLevel="0" collapsed="false">
      <c r="A379" s="5" t="s">
        <v>2264</v>
      </c>
      <c r="B379" s="5" t="s">
        <v>1971</v>
      </c>
      <c r="C379" s="6" t="n">
        <v>2</v>
      </c>
      <c r="D379" s="7" t="s">
        <v>2265</v>
      </c>
      <c r="E379" s="5"/>
      <c r="F379" s="5" t="s">
        <v>2266</v>
      </c>
      <c r="G379" s="5" t="s">
        <v>2267</v>
      </c>
      <c r="H379" s="5" t="s">
        <v>15</v>
      </c>
      <c r="I379" s="5" t="s">
        <v>2268</v>
      </c>
      <c r="J379" s="5" t="s">
        <v>2269</v>
      </c>
    </row>
    <row r="380" customFormat="false" ht="15" hidden="false" customHeight="false" outlineLevel="0" collapsed="false">
      <c r="A380" s="8" t="s">
        <v>2270</v>
      </c>
      <c r="B380" s="8" t="s">
        <v>2264</v>
      </c>
      <c r="C380" s="9" t="n">
        <v>3</v>
      </c>
      <c r="D380" s="10" t="s">
        <v>2271</v>
      </c>
      <c r="E380" s="8"/>
      <c r="F380" s="8" t="s">
        <v>2272</v>
      </c>
      <c r="G380" s="8" t="s">
        <v>2273</v>
      </c>
      <c r="H380" s="8" t="s">
        <v>15</v>
      </c>
      <c r="I380" s="8"/>
      <c r="J380" s="8" t="s">
        <v>2274</v>
      </c>
    </row>
    <row r="381" customFormat="false" ht="15" hidden="false" customHeight="false" outlineLevel="0" collapsed="false">
      <c r="A381" s="8" t="s">
        <v>2275</v>
      </c>
      <c r="B381" s="8" t="s">
        <v>2264</v>
      </c>
      <c r="C381" s="9" t="n">
        <v>3</v>
      </c>
      <c r="D381" s="10" t="s">
        <v>2276</v>
      </c>
      <c r="E381" s="8" t="s">
        <v>2277</v>
      </c>
      <c r="F381" s="8" t="s">
        <v>2278</v>
      </c>
      <c r="G381" s="8" t="s">
        <v>2279</v>
      </c>
      <c r="H381" s="8" t="s">
        <v>15</v>
      </c>
      <c r="I381" s="8" t="s">
        <v>2280</v>
      </c>
      <c r="J381" s="8" t="s">
        <v>2281</v>
      </c>
    </row>
    <row r="382" customFormat="false" ht="15" hidden="false" customHeight="false" outlineLevel="0" collapsed="false">
      <c r="A382" s="8" t="s">
        <v>2282</v>
      </c>
      <c r="B382" s="8" t="s">
        <v>2264</v>
      </c>
      <c r="C382" s="9" t="n">
        <v>3</v>
      </c>
      <c r="D382" s="10" t="s">
        <v>2283</v>
      </c>
      <c r="E382" s="8"/>
      <c r="F382" s="8" t="s">
        <v>2284</v>
      </c>
      <c r="G382" s="8" t="s">
        <v>2285</v>
      </c>
      <c r="H382" s="8" t="s">
        <v>15</v>
      </c>
      <c r="I382" s="8" t="s">
        <v>2286</v>
      </c>
      <c r="J382" s="8" t="s">
        <v>2287</v>
      </c>
    </row>
    <row r="383" customFormat="false" ht="15" hidden="false" customHeight="false" outlineLevel="0" collapsed="false">
      <c r="A383" s="8" t="s">
        <v>2288</v>
      </c>
      <c r="B383" s="8" t="s">
        <v>2264</v>
      </c>
      <c r="C383" s="9" t="n">
        <v>3</v>
      </c>
      <c r="D383" s="10" t="s">
        <v>2289</v>
      </c>
      <c r="E383" s="8" t="s">
        <v>2290</v>
      </c>
      <c r="F383" s="8" t="s">
        <v>2291</v>
      </c>
      <c r="G383" s="8" t="s">
        <v>2292</v>
      </c>
      <c r="H383" s="8" t="s">
        <v>15</v>
      </c>
      <c r="I383" s="8"/>
      <c r="J383" s="8" t="s">
        <v>2293</v>
      </c>
    </row>
    <row r="384" customFormat="false" ht="23.85" hidden="false" customHeight="false" outlineLevel="0" collapsed="false">
      <c r="A384" s="5" t="s">
        <v>2294</v>
      </c>
      <c r="B384" s="5" t="s">
        <v>1971</v>
      </c>
      <c r="C384" s="6" t="n">
        <v>2</v>
      </c>
      <c r="D384" s="7" t="s">
        <v>2295</v>
      </c>
      <c r="E384" s="5"/>
      <c r="F384" s="5" t="s">
        <v>2296</v>
      </c>
      <c r="G384" s="5" t="s">
        <v>2297</v>
      </c>
      <c r="H384" s="5" t="s">
        <v>15</v>
      </c>
      <c r="I384" s="5" t="s">
        <v>2298</v>
      </c>
      <c r="J384" s="5" t="s">
        <v>2299</v>
      </c>
    </row>
    <row r="385" customFormat="false" ht="23.85" hidden="false" customHeight="false" outlineLevel="0" collapsed="false">
      <c r="A385" s="8" t="s">
        <v>2300</v>
      </c>
      <c r="B385" s="8" t="s">
        <v>2294</v>
      </c>
      <c r="C385" s="9" t="n">
        <v>3</v>
      </c>
      <c r="D385" s="10" t="s">
        <v>2301</v>
      </c>
      <c r="E385" s="8"/>
      <c r="F385" s="8" t="s">
        <v>2302</v>
      </c>
      <c r="G385" s="8" t="s">
        <v>2303</v>
      </c>
      <c r="H385" s="8" t="s">
        <v>15</v>
      </c>
      <c r="I385" s="8"/>
      <c r="J385" s="8" t="s">
        <v>2304</v>
      </c>
    </row>
    <row r="386" customFormat="false" ht="15" hidden="false" customHeight="false" outlineLevel="0" collapsed="false">
      <c r="A386" s="8" t="s">
        <v>2305</v>
      </c>
      <c r="B386" s="8" t="s">
        <v>2294</v>
      </c>
      <c r="C386" s="9" t="n">
        <v>3</v>
      </c>
      <c r="D386" s="10" t="s">
        <v>2306</v>
      </c>
      <c r="E386" s="8"/>
      <c r="F386" s="8" t="s">
        <v>2307</v>
      </c>
      <c r="G386" s="8" t="s">
        <v>2308</v>
      </c>
      <c r="H386" s="8" t="s">
        <v>15</v>
      </c>
      <c r="I386" s="8" t="s">
        <v>2309</v>
      </c>
      <c r="J386" s="8" t="s">
        <v>2310</v>
      </c>
    </row>
    <row r="387" customFormat="false" ht="15" hidden="false" customHeight="false" outlineLevel="0" collapsed="false">
      <c r="A387" s="8" t="s">
        <v>2311</v>
      </c>
      <c r="B387" s="8" t="s">
        <v>2294</v>
      </c>
      <c r="C387" s="9" t="n">
        <v>3</v>
      </c>
      <c r="D387" s="10" t="s">
        <v>2312</v>
      </c>
      <c r="E387" s="8"/>
      <c r="F387" s="8" t="s">
        <v>2313</v>
      </c>
      <c r="G387" s="8" t="s">
        <v>2314</v>
      </c>
      <c r="H387" s="8" t="s">
        <v>15</v>
      </c>
      <c r="I387" s="8"/>
      <c r="J387" s="8" t="s">
        <v>2315</v>
      </c>
    </row>
    <row r="388" customFormat="false" ht="15" hidden="false" customHeight="false" outlineLevel="0" collapsed="false">
      <c r="A388" s="8" t="s">
        <v>2316</v>
      </c>
      <c r="B388" s="8" t="s">
        <v>2294</v>
      </c>
      <c r="C388" s="9" t="n">
        <v>3</v>
      </c>
      <c r="D388" s="10" t="s">
        <v>2317</v>
      </c>
      <c r="E388" s="8"/>
      <c r="F388" s="8" t="s">
        <v>2318</v>
      </c>
      <c r="G388" s="8" t="s">
        <v>2319</v>
      </c>
      <c r="H388" s="8" t="s">
        <v>15</v>
      </c>
      <c r="I388" s="8"/>
      <c r="J388" s="8" t="s">
        <v>2320</v>
      </c>
    </row>
    <row r="389" customFormat="false" ht="15" hidden="false" customHeight="false" outlineLevel="0" collapsed="false">
      <c r="A389" s="8" t="s">
        <v>2321</v>
      </c>
      <c r="B389" s="8" t="s">
        <v>2294</v>
      </c>
      <c r="C389" s="9" t="n">
        <v>3</v>
      </c>
      <c r="D389" s="10" t="s">
        <v>2322</v>
      </c>
      <c r="E389" s="8"/>
      <c r="F389" s="8" t="s">
        <v>2323</v>
      </c>
      <c r="G389" s="8" t="s">
        <v>2324</v>
      </c>
      <c r="H389" s="8" t="s">
        <v>15</v>
      </c>
      <c r="I389" s="8"/>
      <c r="J389" s="8" t="s">
        <v>2325</v>
      </c>
    </row>
    <row r="390" customFormat="false" ht="23.85" hidden="false" customHeight="false" outlineLevel="0" collapsed="false">
      <c r="A390" s="8" t="s">
        <v>2326</v>
      </c>
      <c r="B390" s="8" t="s">
        <v>2294</v>
      </c>
      <c r="C390" s="9" t="n">
        <v>3</v>
      </c>
      <c r="D390" s="10" t="s">
        <v>2327</v>
      </c>
      <c r="E390" s="8"/>
      <c r="F390" s="8" t="s">
        <v>2328</v>
      </c>
      <c r="G390" s="8" t="s">
        <v>2329</v>
      </c>
      <c r="H390" s="8" t="s">
        <v>15</v>
      </c>
      <c r="I390" s="8"/>
      <c r="J390" s="8" t="s">
        <v>2330</v>
      </c>
    </row>
    <row r="391" customFormat="false" ht="23.85" hidden="false" customHeight="false" outlineLevel="0" collapsed="false">
      <c r="A391" s="5" t="s">
        <v>2331</v>
      </c>
      <c r="B391" s="5" t="s">
        <v>1971</v>
      </c>
      <c r="C391" s="6" t="n">
        <v>2</v>
      </c>
      <c r="D391" s="7" t="s">
        <v>2332</v>
      </c>
      <c r="E391" s="5" t="s">
        <v>2333</v>
      </c>
      <c r="F391" s="5" t="s">
        <v>2334</v>
      </c>
      <c r="G391" s="5" t="s">
        <v>2335</v>
      </c>
      <c r="H391" s="5" t="s">
        <v>15</v>
      </c>
      <c r="I391" s="5" t="s">
        <v>2336</v>
      </c>
      <c r="J391" s="5" t="s">
        <v>2337</v>
      </c>
    </row>
    <row r="392" customFormat="false" ht="15" hidden="false" customHeight="false" outlineLevel="0" collapsed="false">
      <c r="A392" s="5" t="s">
        <v>2338</v>
      </c>
      <c r="B392" s="5" t="s">
        <v>1971</v>
      </c>
      <c r="C392" s="6" t="n">
        <v>2</v>
      </c>
      <c r="D392" s="7" t="s">
        <v>2339</v>
      </c>
      <c r="E392" s="5"/>
      <c r="F392" s="5" t="s">
        <v>2340</v>
      </c>
      <c r="G392" s="5" t="s">
        <v>2341</v>
      </c>
      <c r="H392" s="5" t="s">
        <v>280</v>
      </c>
      <c r="I392" s="5"/>
      <c r="J392" s="5" t="s">
        <v>2342</v>
      </c>
    </row>
    <row r="393" customFormat="false" ht="23.85" hidden="false" customHeight="false" outlineLevel="0" collapsed="false">
      <c r="A393" s="8" t="s">
        <v>2343</v>
      </c>
      <c r="B393" s="8" t="s">
        <v>2338</v>
      </c>
      <c r="C393" s="9" t="n">
        <v>3</v>
      </c>
      <c r="D393" s="10" t="s">
        <v>2344</v>
      </c>
      <c r="E393" s="8" t="s">
        <v>2345</v>
      </c>
      <c r="F393" s="8" t="s">
        <v>2346</v>
      </c>
      <c r="G393" s="8" t="s">
        <v>2347</v>
      </c>
      <c r="H393" s="8" t="s">
        <v>15</v>
      </c>
      <c r="I393" s="8" t="s">
        <v>2348</v>
      </c>
      <c r="J393" s="8" t="s">
        <v>2349</v>
      </c>
    </row>
    <row r="394" customFormat="false" ht="15" hidden="false" customHeight="false" outlineLevel="0" collapsed="false">
      <c r="A394" s="8" t="s">
        <v>2350</v>
      </c>
      <c r="B394" s="8" t="s">
        <v>2338</v>
      </c>
      <c r="C394" s="9" t="n">
        <v>3</v>
      </c>
      <c r="D394" s="10" t="s">
        <v>2351</v>
      </c>
      <c r="E394" s="8"/>
      <c r="F394" s="8" t="s">
        <v>2352</v>
      </c>
      <c r="G394" s="8" t="s">
        <v>2353</v>
      </c>
      <c r="H394" s="8" t="s">
        <v>258</v>
      </c>
      <c r="I394" s="8"/>
      <c r="J394" s="8" t="s">
        <v>2354</v>
      </c>
    </row>
    <row r="395" customFormat="false" ht="15" hidden="false" customHeight="false" outlineLevel="0" collapsed="false">
      <c r="A395" s="5" t="s">
        <v>2355</v>
      </c>
      <c r="B395" s="5" t="s">
        <v>1971</v>
      </c>
      <c r="C395" s="6" t="n">
        <v>2</v>
      </c>
      <c r="D395" s="7" t="s">
        <v>2356</v>
      </c>
      <c r="E395" s="5" t="s">
        <v>2357</v>
      </c>
      <c r="F395" s="5" t="s">
        <v>2358</v>
      </c>
      <c r="G395" s="5" t="s">
        <v>2359</v>
      </c>
      <c r="H395" s="5" t="s">
        <v>258</v>
      </c>
      <c r="I395" s="5"/>
      <c r="J395" s="5" t="s">
        <v>2360</v>
      </c>
    </row>
    <row r="396" customFormat="false" ht="15" hidden="false" customHeight="false" outlineLevel="0" collapsed="false">
      <c r="A396" s="8" t="s">
        <v>2361</v>
      </c>
      <c r="B396" s="8" t="s">
        <v>2355</v>
      </c>
      <c r="C396" s="9" t="n">
        <v>3</v>
      </c>
      <c r="D396" s="10" t="s">
        <v>2362</v>
      </c>
      <c r="E396" s="8" t="s">
        <v>2363</v>
      </c>
      <c r="F396" s="8" t="s">
        <v>2364</v>
      </c>
      <c r="G396" s="8" t="s">
        <v>2365</v>
      </c>
      <c r="H396" s="8" t="s">
        <v>258</v>
      </c>
      <c r="I396" s="8"/>
      <c r="J396" s="8" t="s">
        <v>2366</v>
      </c>
    </row>
    <row r="397" customFormat="false" ht="15" hidden="false" customHeight="false" outlineLevel="0" collapsed="false">
      <c r="A397" s="8" t="s">
        <v>2367</v>
      </c>
      <c r="B397" s="8" t="s">
        <v>2355</v>
      </c>
      <c r="C397" s="9" t="n">
        <v>3</v>
      </c>
      <c r="D397" s="10" t="s">
        <v>2368</v>
      </c>
      <c r="E397" s="8"/>
      <c r="F397" s="8" t="s">
        <v>2369</v>
      </c>
      <c r="G397" s="8" t="s">
        <v>2370</v>
      </c>
      <c r="H397" s="8" t="s">
        <v>258</v>
      </c>
      <c r="I397" s="8"/>
      <c r="J397" s="8" t="s">
        <v>2371</v>
      </c>
    </row>
    <row r="398" customFormat="false" ht="15" hidden="false" customHeight="false" outlineLevel="0" collapsed="false">
      <c r="A398" s="8" t="s">
        <v>2372</v>
      </c>
      <c r="B398" s="8" t="s">
        <v>2355</v>
      </c>
      <c r="C398" s="9" t="n">
        <v>3</v>
      </c>
      <c r="D398" s="10" t="s">
        <v>2373</v>
      </c>
      <c r="E398" s="8" t="s">
        <v>2374</v>
      </c>
      <c r="F398" s="8" t="s">
        <v>2375</v>
      </c>
      <c r="G398" s="8" t="s">
        <v>2376</v>
      </c>
      <c r="H398" s="8" t="s">
        <v>258</v>
      </c>
      <c r="I398" s="8"/>
      <c r="J398" s="8" t="s">
        <v>2377</v>
      </c>
    </row>
    <row r="399" customFormat="false" ht="15" hidden="false" customHeight="false" outlineLevel="0" collapsed="false">
      <c r="A399" s="5" t="s">
        <v>2378</v>
      </c>
      <c r="B399" s="5" t="s">
        <v>1971</v>
      </c>
      <c r="C399" s="6" t="n">
        <v>2</v>
      </c>
      <c r="D399" s="7" t="s">
        <v>2379</v>
      </c>
      <c r="E399" s="5" t="s">
        <v>2380</v>
      </c>
      <c r="F399" s="5" t="s">
        <v>2381</v>
      </c>
      <c r="G399" s="5" t="s">
        <v>2382</v>
      </c>
      <c r="H399" s="5" t="s">
        <v>258</v>
      </c>
      <c r="I399" s="5"/>
      <c r="J399" s="5" t="s">
        <v>2383</v>
      </c>
    </row>
    <row r="400" customFormat="false" ht="23.85" hidden="false" customHeight="false" outlineLevel="0" collapsed="false">
      <c r="A400" s="5" t="s">
        <v>2384</v>
      </c>
      <c r="B400" s="5" t="s">
        <v>1971</v>
      </c>
      <c r="C400" s="6" t="n">
        <v>2</v>
      </c>
      <c r="D400" s="7" t="s">
        <v>2385</v>
      </c>
      <c r="E400" s="5" t="s">
        <v>2386</v>
      </c>
      <c r="F400" s="5" t="s">
        <v>2387</v>
      </c>
      <c r="G400" s="5" t="s">
        <v>2388</v>
      </c>
      <c r="H400" s="5" t="s">
        <v>280</v>
      </c>
      <c r="I400" s="5"/>
      <c r="J400" s="5" t="s">
        <v>2389</v>
      </c>
    </row>
    <row r="401" customFormat="false" ht="23.85" hidden="false" customHeight="false" outlineLevel="0" collapsed="false">
      <c r="A401" s="2" t="s">
        <v>2390</v>
      </c>
      <c r="B401" s="2"/>
      <c r="C401" s="3" t="n">
        <v>1</v>
      </c>
      <c r="D401" s="4" t="s">
        <v>2391</v>
      </c>
      <c r="E401" s="2" t="s">
        <v>2392</v>
      </c>
      <c r="F401" s="2" t="s">
        <v>2393</v>
      </c>
      <c r="G401" s="2" t="s">
        <v>2394</v>
      </c>
      <c r="H401" s="2" t="s">
        <v>280</v>
      </c>
      <c r="I401" s="2"/>
      <c r="J401" s="2" t="s">
        <v>2391</v>
      </c>
    </row>
    <row r="402" customFormat="false" ht="15" hidden="false" customHeight="false" outlineLevel="0" collapsed="false">
      <c r="A402" s="5" t="s">
        <v>2395</v>
      </c>
      <c r="B402" s="5" t="s">
        <v>2390</v>
      </c>
      <c r="C402" s="6" t="n">
        <v>2</v>
      </c>
      <c r="D402" s="7" t="s">
        <v>2396</v>
      </c>
      <c r="E402" s="5"/>
      <c r="F402" s="5" t="s">
        <v>2397</v>
      </c>
      <c r="G402" s="5" t="s">
        <v>2398</v>
      </c>
      <c r="H402" s="5" t="s">
        <v>280</v>
      </c>
      <c r="I402" s="5"/>
      <c r="J402" s="5" t="s">
        <v>2399</v>
      </c>
    </row>
    <row r="403" customFormat="false" ht="15" hidden="false" customHeight="false" outlineLevel="0" collapsed="false">
      <c r="A403" s="8" t="s">
        <v>2400</v>
      </c>
      <c r="B403" s="8" t="s">
        <v>2395</v>
      </c>
      <c r="C403" s="9" t="n">
        <v>3</v>
      </c>
      <c r="D403" s="10" t="s">
        <v>2401</v>
      </c>
      <c r="E403" s="8" t="s">
        <v>2402</v>
      </c>
      <c r="F403" s="8" t="s">
        <v>2403</v>
      </c>
      <c r="G403" s="8" t="s">
        <v>2404</v>
      </c>
      <c r="H403" s="8" t="s">
        <v>258</v>
      </c>
      <c r="I403" s="8"/>
      <c r="J403" s="8" t="s">
        <v>2405</v>
      </c>
    </row>
    <row r="404" customFormat="false" ht="15" hidden="false" customHeight="false" outlineLevel="0" collapsed="false">
      <c r="A404" s="8" t="s">
        <v>2406</v>
      </c>
      <c r="B404" s="8" t="s">
        <v>2400</v>
      </c>
      <c r="C404" s="9" t="n">
        <v>4</v>
      </c>
      <c r="D404" s="11" t="s">
        <v>2407</v>
      </c>
      <c r="E404" s="8"/>
      <c r="F404" s="8" t="s">
        <v>2408</v>
      </c>
      <c r="G404" s="8" t="s">
        <v>2409</v>
      </c>
      <c r="H404" s="8" t="s">
        <v>258</v>
      </c>
      <c r="I404" s="8"/>
      <c r="J404" s="8" t="s">
        <v>2410</v>
      </c>
    </row>
    <row r="405" customFormat="false" ht="15" hidden="false" customHeight="false" outlineLevel="0" collapsed="false">
      <c r="A405" s="8" t="s">
        <v>2411</v>
      </c>
      <c r="B405" s="8" t="s">
        <v>2400</v>
      </c>
      <c r="C405" s="9" t="n">
        <v>4</v>
      </c>
      <c r="D405" s="11" t="s">
        <v>2412</v>
      </c>
      <c r="E405" s="8"/>
      <c r="F405" s="8" t="s">
        <v>2413</v>
      </c>
      <c r="G405" s="8" t="s">
        <v>2414</v>
      </c>
      <c r="H405" s="8" t="s">
        <v>258</v>
      </c>
      <c r="I405" s="8"/>
      <c r="J405" s="8" t="s">
        <v>2415</v>
      </c>
    </row>
    <row r="406" customFormat="false" ht="23.85" hidden="false" customHeight="false" outlineLevel="0" collapsed="false">
      <c r="A406" s="8" t="s">
        <v>2416</v>
      </c>
      <c r="B406" s="8" t="s">
        <v>2400</v>
      </c>
      <c r="C406" s="9" t="n">
        <v>4</v>
      </c>
      <c r="D406" s="11" t="s">
        <v>2417</v>
      </c>
      <c r="E406" s="8"/>
      <c r="F406" s="8" t="s">
        <v>2418</v>
      </c>
      <c r="G406" s="8" t="s">
        <v>2419</v>
      </c>
      <c r="H406" s="8" t="s">
        <v>258</v>
      </c>
      <c r="I406" s="8" t="s">
        <v>2420</v>
      </c>
      <c r="J406" s="8" t="s">
        <v>2421</v>
      </c>
    </row>
    <row r="407" customFormat="false" ht="23.85" hidden="false" customHeight="false" outlineLevel="0" collapsed="false">
      <c r="A407" s="8" t="s">
        <v>2422</v>
      </c>
      <c r="B407" s="8" t="s">
        <v>2395</v>
      </c>
      <c r="C407" s="9" t="n">
        <v>3</v>
      </c>
      <c r="D407" s="10" t="s">
        <v>2423</v>
      </c>
      <c r="E407" s="8" t="s">
        <v>2424</v>
      </c>
      <c r="F407" s="8" t="s">
        <v>2425</v>
      </c>
      <c r="G407" s="8" t="s">
        <v>2426</v>
      </c>
      <c r="H407" s="8" t="s">
        <v>15</v>
      </c>
      <c r="I407" s="8" t="s">
        <v>2427</v>
      </c>
      <c r="J407" s="8" t="s">
        <v>2428</v>
      </c>
    </row>
    <row r="408" customFormat="false" ht="15" hidden="false" customHeight="false" outlineLevel="0" collapsed="false">
      <c r="A408" s="8" t="s">
        <v>2429</v>
      </c>
      <c r="B408" s="8" t="s">
        <v>2422</v>
      </c>
      <c r="C408" s="9" t="n">
        <v>4</v>
      </c>
      <c r="D408" s="11" t="s">
        <v>2430</v>
      </c>
      <c r="E408" s="8" t="s">
        <v>2431</v>
      </c>
      <c r="F408" s="8" t="s">
        <v>2432</v>
      </c>
      <c r="G408" s="8" t="s">
        <v>2433</v>
      </c>
      <c r="H408" s="8" t="s">
        <v>15</v>
      </c>
      <c r="I408" s="8"/>
      <c r="J408" s="8" t="s">
        <v>2434</v>
      </c>
    </row>
    <row r="409" customFormat="false" ht="15" hidden="false" customHeight="false" outlineLevel="0" collapsed="false">
      <c r="A409" s="8" t="s">
        <v>2435</v>
      </c>
      <c r="B409" s="8" t="s">
        <v>2422</v>
      </c>
      <c r="C409" s="9" t="n">
        <v>4</v>
      </c>
      <c r="D409" s="11" t="s">
        <v>2436</v>
      </c>
      <c r="E409" s="8" t="s">
        <v>2437</v>
      </c>
      <c r="F409" s="8" t="s">
        <v>2438</v>
      </c>
      <c r="G409" s="8" t="s">
        <v>2439</v>
      </c>
      <c r="H409" s="8" t="s">
        <v>15</v>
      </c>
      <c r="I409" s="8"/>
      <c r="J409" s="8" t="s">
        <v>2440</v>
      </c>
    </row>
    <row r="410" customFormat="false" ht="23.85" hidden="false" customHeight="false" outlineLevel="0" collapsed="false">
      <c r="A410" s="8" t="s">
        <v>2441</v>
      </c>
      <c r="B410" s="8" t="s">
        <v>2395</v>
      </c>
      <c r="C410" s="9" t="n">
        <v>3</v>
      </c>
      <c r="D410" s="10" t="s">
        <v>2442</v>
      </c>
      <c r="E410" s="8" t="s">
        <v>2443</v>
      </c>
      <c r="F410" s="8" t="s">
        <v>2444</v>
      </c>
      <c r="G410" s="8" t="s">
        <v>2445</v>
      </c>
      <c r="H410" s="8" t="s">
        <v>15</v>
      </c>
      <c r="I410" s="8" t="s">
        <v>2446</v>
      </c>
      <c r="J410" s="8" t="s">
        <v>2447</v>
      </c>
    </row>
    <row r="411" customFormat="false" ht="15" hidden="false" customHeight="false" outlineLevel="0" collapsed="false">
      <c r="A411" s="5" t="s">
        <v>2448</v>
      </c>
      <c r="B411" s="5" t="s">
        <v>2390</v>
      </c>
      <c r="C411" s="6" t="n">
        <v>2</v>
      </c>
      <c r="D411" s="7" t="s">
        <v>2449</v>
      </c>
      <c r="E411" s="5"/>
      <c r="F411" s="5" t="s">
        <v>2450</v>
      </c>
      <c r="G411" s="5" t="s">
        <v>2451</v>
      </c>
      <c r="H411" s="5" t="s">
        <v>15</v>
      </c>
      <c r="I411" s="5"/>
      <c r="J411" s="5" t="s">
        <v>2452</v>
      </c>
    </row>
    <row r="412" customFormat="false" ht="23.85" hidden="false" customHeight="false" outlineLevel="0" collapsed="false">
      <c r="A412" s="8" t="s">
        <v>2453</v>
      </c>
      <c r="B412" s="8" t="s">
        <v>2448</v>
      </c>
      <c r="C412" s="9" t="n">
        <v>3</v>
      </c>
      <c r="D412" s="10" t="s">
        <v>2454</v>
      </c>
      <c r="E412" s="8"/>
      <c r="F412" s="8" t="s">
        <v>2455</v>
      </c>
      <c r="G412" s="8" t="s">
        <v>2456</v>
      </c>
      <c r="H412" s="8" t="s">
        <v>15</v>
      </c>
      <c r="I412" s="8" t="s">
        <v>2457</v>
      </c>
      <c r="J412" s="8" t="s">
        <v>2458</v>
      </c>
    </row>
    <row r="413" customFormat="false" ht="15" hidden="false" customHeight="false" outlineLevel="0" collapsed="false">
      <c r="A413" s="8" t="s">
        <v>2459</v>
      </c>
      <c r="B413" s="8" t="s">
        <v>2453</v>
      </c>
      <c r="C413" s="9" t="n">
        <v>4</v>
      </c>
      <c r="D413" s="11" t="s">
        <v>2460</v>
      </c>
      <c r="E413" s="8"/>
      <c r="F413" s="8" t="s">
        <v>2461</v>
      </c>
      <c r="G413" s="8" t="s">
        <v>2462</v>
      </c>
      <c r="H413" s="8" t="s">
        <v>15</v>
      </c>
      <c r="I413" s="8"/>
      <c r="J413" s="8" t="s">
        <v>2463</v>
      </c>
    </row>
    <row r="414" customFormat="false" ht="15" hidden="false" customHeight="false" outlineLevel="0" collapsed="false">
      <c r="A414" s="8" t="s">
        <v>2464</v>
      </c>
      <c r="B414" s="8" t="s">
        <v>2453</v>
      </c>
      <c r="C414" s="9" t="n">
        <v>4</v>
      </c>
      <c r="D414" s="11" t="s">
        <v>2465</v>
      </c>
      <c r="E414" s="8"/>
      <c r="F414" s="8" t="s">
        <v>2466</v>
      </c>
      <c r="G414" s="8" t="s">
        <v>2467</v>
      </c>
      <c r="H414" s="8" t="s">
        <v>15</v>
      </c>
      <c r="I414" s="8"/>
      <c r="J414" s="8" t="s">
        <v>2468</v>
      </c>
    </row>
    <row r="415" customFormat="false" ht="23.85" hidden="false" customHeight="false" outlineLevel="0" collapsed="false">
      <c r="A415" s="8" t="s">
        <v>2469</v>
      </c>
      <c r="B415" s="8" t="s">
        <v>2453</v>
      </c>
      <c r="C415" s="9" t="n">
        <v>4</v>
      </c>
      <c r="D415" s="11" t="s">
        <v>2470</v>
      </c>
      <c r="E415" s="8"/>
      <c r="F415" s="8" t="s">
        <v>2471</v>
      </c>
      <c r="G415" s="8" t="s">
        <v>2472</v>
      </c>
      <c r="H415" s="8" t="s">
        <v>15</v>
      </c>
      <c r="I415" s="8" t="s">
        <v>2473</v>
      </c>
      <c r="J415" s="8" t="s">
        <v>2474</v>
      </c>
    </row>
    <row r="416" customFormat="false" ht="23.85" hidden="false" customHeight="false" outlineLevel="0" collapsed="false">
      <c r="A416" s="8" t="s">
        <v>2475</v>
      </c>
      <c r="B416" s="8" t="s">
        <v>2448</v>
      </c>
      <c r="C416" s="9" t="n">
        <v>3</v>
      </c>
      <c r="D416" s="10" t="s">
        <v>2476</v>
      </c>
      <c r="E416" s="8"/>
      <c r="F416" s="8" t="s">
        <v>2477</v>
      </c>
      <c r="G416" s="8" t="s">
        <v>2478</v>
      </c>
      <c r="H416" s="8" t="s">
        <v>15</v>
      </c>
      <c r="I416" s="8" t="s">
        <v>2479</v>
      </c>
      <c r="J416" s="8" t="s">
        <v>2480</v>
      </c>
    </row>
    <row r="417" customFormat="false" ht="23.85" hidden="false" customHeight="false" outlineLevel="0" collapsed="false">
      <c r="A417" s="8" t="s">
        <v>2481</v>
      </c>
      <c r="B417" s="8" t="s">
        <v>2448</v>
      </c>
      <c r="C417" s="9" t="n">
        <v>3</v>
      </c>
      <c r="D417" s="10" t="s">
        <v>2482</v>
      </c>
      <c r="E417" s="8" t="s">
        <v>2483</v>
      </c>
      <c r="F417" s="8" t="s">
        <v>2484</v>
      </c>
      <c r="G417" s="8" t="s">
        <v>2485</v>
      </c>
      <c r="H417" s="8" t="s">
        <v>15</v>
      </c>
      <c r="I417" s="8" t="s">
        <v>2486</v>
      </c>
      <c r="J417" s="8" t="s">
        <v>2487</v>
      </c>
    </row>
    <row r="418" customFormat="false" ht="15" hidden="false" customHeight="false" outlineLevel="0" collapsed="false">
      <c r="A418" s="8" t="s">
        <v>2488</v>
      </c>
      <c r="B418" s="8" t="s">
        <v>2448</v>
      </c>
      <c r="C418" s="9" t="n">
        <v>3</v>
      </c>
      <c r="D418" s="10" t="s">
        <v>2489</v>
      </c>
      <c r="E418" s="8"/>
      <c r="F418" s="8" t="s">
        <v>2490</v>
      </c>
      <c r="G418" s="8" t="s">
        <v>2491</v>
      </c>
      <c r="H418" s="8" t="s">
        <v>15</v>
      </c>
      <c r="I418" s="8" t="s">
        <v>2492</v>
      </c>
      <c r="J418" s="8" t="s">
        <v>2493</v>
      </c>
    </row>
    <row r="419" customFormat="false" ht="23.85" hidden="false" customHeight="false" outlineLevel="0" collapsed="false">
      <c r="A419" s="5" t="s">
        <v>2494</v>
      </c>
      <c r="B419" s="5" t="s">
        <v>2390</v>
      </c>
      <c r="C419" s="6" t="n">
        <v>2</v>
      </c>
      <c r="D419" s="7" t="s">
        <v>2495</v>
      </c>
      <c r="E419" s="5"/>
      <c r="F419" s="5" t="s">
        <v>2496</v>
      </c>
      <c r="G419" s="5" t="s">
        <v>2497</v>
      </c>
      <c r="H419" s="5" t="s">
        <v>280</v>
      </c>
      <c r="I419" s="5" t="s">
        <v>2498</v>
      </c>
      <c r="J419" s="5" t="s">
        <v>2499</v>
      </c>
    </row>
    <row r="420" customFormat="false" ht="15" hidden="false" customHeight="false" outlineLevel="0" collapsed="false">
      <c r="A420" s="8" t="s">
        <v>2500</v>
      </c>
      <c r="B420" s="8" t="s">
        <v>2494</v>
      </c>
      <c r="C420" s="9" t="n">
        <v>3</v>
      </c>
      <c r="D420" s="10" t="s">
        <v>2501</v>
      </c>
      <c r="E420" s="8"/>
      <c r="F420" s="8" t="s">
        <v>2502</v>
      </c>
      <c r="G420" s="8" t="s">
        <v>2503</v>
      </c>
      <c r="H420" s="8" t="s">
        <v>280</v>
      </c>
      <c r="I420" s="8" t="s">
        <v>1365</v>
      </c>
      <c r="J420" s="8" t="s">
        <v>2504</v>
      </c>
    </row>
    <row r="421" customFormat="false" ht="15" hidden="false" customHeight="false" outlineLevel="0" collapsed="false">
      <c r="A421" s="8" t="s">
        <v>2505</v>
      </c>
      <c r="B421" s="8" t="s">
        <v>2494</v>
      </c>
      <c r="C421" s="9" t="n">
        <v>3</v>
      </c>
      <c r="D421" s="10" t="s">
        <v>2506</v>
      </c>
      <c r="E421" s="8"/>
      <c r="F421" s="8" t="s">
        <v>2507</v>
      </c>
      <c r="G421" s="8" t="s">
        <v>2508</v>
      </c>
      <c r="H421" s="8" t="s">
        <v>280</v>
      </c>
      <c r="I421" s="8" t="s">
        <v>2509</v>
      </c>
      <c r="J421" s="8" t="s">
        <v>2510</v>
      </c>
    </row>
    <row r="422" customFormat="false" ht="23.85" hidden="false" customHeight="false" outlineLevel="0" collapsed="false">
      <c r="A422" s="8" t="s">
        <v>2511</v>
      </c>
      <c r="B422" s="8" t="s">
        <v>2494</v>
      </c>
      <c r="C422" s="9" t="n">
        <v>3</v>
      </c>
      <c r="D422" s="10" t="s">
        <v>2512</v>
      </c>
      <c r="E422" s="8"/>
      <c r="F422" s="8" t="s">
        <v>2513</v>
      </c>
      <c r="G422" s="8" t="s">
        <v>2514</v>
      </c>
      <c r="H422" s="8" t="s">
        <v>280</v>
      </c>
      <c r="I422" s="8" t="s">
        <v>2515</v>
      </c>
      <c r="J422" s="8" t="s">
        <v>2516</v>
      </c>
    </row>
    <row r="423" customFormat="false" ht="35.05" hidden="false" customHeight="false" outlineLevel="0" collapsed="false">
      <c r="A423" s="5" t="s">
        <v>2517</v>
      </c>
      <c r="B423" s="5" t="s">
        <v>2390</v>
      </c>
      <c r="C423" s="6" t="n">
        <v>2</v>
      </c>
      <c r="D423" s="7" t="s">
        <v>2518</v>
      </c>
      <c r="E423" s="5"/>
      <c r="F423" s="5" t="s">
        <v>2519</v>
      </c>
      <c r="G423" s="5" t="s">
        <v>2520</v>
      </c>
      <c r="H423" s="5" t="s">
        <v>258</v>
      </c>
      <c r="I423" s="5" t="s">
        <v>2521</v>
      </c>
      <c r="J423" s="5" t="s">
        <v>2522</v>
      </c>
    </row>
    <row r="424" customFormat="false" ht="15" hidden="false" customHeight="false" outlineLevel="0" collapsed="false">
      <c r="A424" s="8" t="s">
        <v>2523</v>
      </c>
      <c r="B424" s="8" t="s">
        <v>2517</v>
      </c>
      <c r="C424" s="9" t="n">
        <v>3</v>
      </c>
      <c r="D424" s="10" t="s">
        <v>2524</v>
      </c>
      <c r="E424" s="8" t="s">
        <v>2525</v>
      </c>
      <c r="F424" s="8" t="s">
        <v>2526</v>
      </c>
      <c r="G424" s="8" t="s">
        <v>2527</v>
      </c>
      <c r="H424" s="8" t="s">
        <v>258</v>
      </c>
      <c r="I424" s="8"/>
      <c r="J424" s="8" t="s">
        <v>2528</v>
      </c>
    </row>
    <row r="425" customFormat="false" ht="15" hidden="false" customHeight="false" outlineLevel="0" collapsed="false">
      <c r="A425" s="8" t="s">
        <v>2529</v>
      </c>
      <c r="B425" s="8" t="s">
        <v>2523</v>
      </c>
      <c r="C425" s="9" t="n">
        <v>4</v>
      </c>
      <c r="D425" s="11" t="s">
        <v>2530</v>
      </c>
      <c r="E425" s="8"/>
      <c r="F425" s="8" t="s">
        <v>2531</v>
      </c>
      <c r="G425" s="8" t="s">
        <v>2532</v>
      </c>
      <c r="H425" s="8" t="s">
        <v>258</v>
      </c>
      <c r="I425" s="8"/>
      <c r="J425" s="8" t="s">
        <v>2533</v>
      </c>
    </row>
    <row r="426" customFormat="false" ht="15" hidden="false" customHeight="false" outlineLevel="0" collapsed="false">
      <c r="A426" s="8" t="s">
        <v>2534</v>
      </c>
      <c r="B426" s="8" t="s">
        <v>2523</v>
      </c>
      <c r="C426" s="9" t="n">
        <v>4</v>
      </c>
      <c r="D426" s="11" t="s">
        <v>2535</v>
      </c>
      <c r="E426" s="8"/>
      <c r="F426" s="8" t="s">
        <v>2536</v>
      </c>
      <c r="G426" s="8" t="s">
        <v>2537</v>
      </c>
      <c r="H426" s="8" t="s">
        <v>258</v>
      </c>
      <c r="I426" s="8"/>
      <c r="J426" s="8" t="s">
        <v>2538</v>
      </c>
    </row>
    <row r="427" customFormat="false" ht="15" hidden="false" customHeight="false" outlineLevel="0" collapsed="false">
      <c r="A427" s="8" t="s">
        <v>2539</v>
      </c>
      <c r="B427" s="8" t="s">
        <v>2523</v>
      </c>
      <c r="C427" s="9" t="n">
        <v>4</v>
      </c>
      <c r="D427" s="11" t="s">
        <v>2540</v>
      </c>
      <c r="E427" s="8" t="s">
        <v>2541</v>
      </c>
      <c r="F427" s="8" t="s">
        <v>2542</v>
      </c>
      <c r="G427" s="8" t="s">
        <v>2543</v>
      </c>
      <c r="H427" s="8" t="s">
        <v>258</v>
      </c>
      <c r="I427" s="8"/>
      <c r="J427" s="8" t="s">
        <v>2544</v>
      </c>
    </row>
    <row r="428" customFormat="false" ht="15" hidden="false" customHeight="false" outlineLevel="0" collapsed="false">
      <c r="A428" s="8" t="s">
        <v>2545</v>
      </c>
      <c r="B428" s="8" t="s">
        <v>2523</v>
      </c>
      <c r="C428" s="9" t="n">
        <v>4</v>
      </c>
      <c r="D428" s="11" t="s">
        <v>2546</v>
      </c>
      <c r="E428" s="8"/>
      <c r="F428" s="8" t="s">
        <v>2547</v>
      </c>
      <c r="G428" s="8" t="s">
        <v>2548</v>
      </c>
      <c r="H428" s="8" t="s">
        <v>258</v>
      </c>
      <c r="I428" s="8"/>
      <c r="J428" s="8" t="s">
        <v>2549</v>
      </c>
    </row>
    <row r="429" customFormat="false" ht="15" hidden="false" customHeight="false" outlineLevel="0" collapsed="false">
      <c r="A429" s="8" t="s">
        <v>2550</v>
      </c>
      <c r="B429" s="8" t="s">
        <v>2517</v>
      </c>
      <c r="C429" s="9" t="n">
        <v>3</v>
      </c>
      <c r="D429" s="10" t="s">
        <v>2551</v>
      </c>
      <c r="E429" s="8" t="s">
        <v>2552</v>
      </c>
      <c r="F429" s="8" t="s">
        <v>2553</v>
      </c>
      <c r="G429" s="8" t="s">
        <v>2554</v>
      </c>
      <c r="H429" s="8" t="s">
        <v>258</v>
      </c>
      <c r="I429" s="8"/>
      <c r="J429" s="8" t="s">
        <v>2555</v>
      </c>
    </row>
    <row r="430" customFormat="false" ht="23.85" hidden="false" customHeight="false" outlineLevel="0" collapsed="false">
      <c r="A430" s="8" t="s">
        <v>2556</v>
      </c>
      <c r="B430" s="8" t="s">
        <v>2550</v>
      </c>
      <c r="C430" s="9" t="n">
        <v>4</v>
      </c>
      <c r="D430" s="11" t="s">
        <v>2557</v>
      </c>
      <c r="E430" s="8"/>
      <c r="F430" s="8" t="s">
        <v>2558</v>
      </c>
      <c r="G430" s="8" t="s">
        <v>2559</v>
      </c>
      <c r="H430" s="8" t="s">
        <v>258</v>
      </c>
      <c r="I430" s="8"/>
      <c r="J430" s="8" t="s">
        <v>2560</v>
      </c>
    </row>
    <row r="431" customFormat="false" ht="15" hidden="false" customHeight="false" outlineLevel="0" collapsed="false">
      <c r="A431" s="8" t="s">
        <v>2561</v>
      </c>
      <c r="B431" s="8" t="s">
        <v>2550</v>
      </c>
      <c r="C431" s="9" t="n">
        <v>4</v>
      </c>
      <c r="D431" s="11" t="s">
        <v>2562</v>
      </c>
      <c r="E431" s="8"/>
      <c r="F431" s="8" t="s">
        <v>2563</v>
      </c>
      <c r="G431" s="8" t="s">
        <v>2564</v>
      </c>
      <c r="H431" s="8" t="s">
        <v>280</v>
      </c>
      <c r="I431" s="8"/>
      <c r="J431" s="8" t="s">
        <v>2565</v>
      </c>
    </row>
    <row r="432" customFormat="false" ht="23.85" hidden="false" customHeight="false" outlineLevel="0" collapsed="false">
      <c r="A432" s="8" t="s">
        <v>2566</v>
      </c>
      <c r="B432" s="8" t="s">
        <v>2550</v>
      </c>
      <c r="C432" s="9" t="n">
        <v>4</v>
      </c>
      <c r="D432" s="11" t="s">
        <v>2567</v>
      </c>
      <c r="E432" s="8"/>
      <c r="F432" s="8" t="s">
        <v>2568</v>
      </c>
      <c r="G432" s="8" t="s">
        <v>2569</v>
      </c>
      <c r="H432" s="8" t="s">
        <v>15</v>
      </c>
      <c r="I432" s="8" t="s">
        <v>2570</v>
      </c>
      <c r="J432" s="8" t="s">
        <v>2571</v>
      </c>
    </row>
    <row r="433" customFormat="false" ht="15" hidden="false" customHeight="false" outlineLevel="0" collapsed="false">
      <c r="A433" s="8" t="s">
        <v>2572</v>
      </c>
      <c r="B433" s="8" t="s">
        <v>2550</v>
      </c>
      <c r="C433" s="9" t="n">
        <v>4</v>
      </c>
      <c r="D433" s="11" t="s">
        <v>2573</v>
      </c>
      <c r="E433" s="8"/>
      <c r="F433" s="8" t="s">
        <v>2574</v>
      </c>
      <c r="G433" s="8" t="s">
        <v>2575</v>
      </c>
      <c r="H433" s="8" t="s">
        <v>258</v>
      </c>
      <c r="I433" s="8"/>
      <c r="J433" s="8" t="s">
        <v>2576</v>
      </c>
    </row>
    <row r="434" customFormat="false" ht="15" hidden="false" customHeight="false" outlineLevel="0" collapsed="false">
      <c r="A434" s="8" t="s">
        <v>2577</v>
      </c>
      <c r="B434" s="8" t="s">
        <v>2550</v>
      </c>
      <c r="C434" s="9" t="n">
        <v>4</v>
      </c>
      <c r="D434" s="11" t="s">
        <v>2578</v>
      </c>
      <c r="E434" s="8"/>
      <c r="F434" s="8" t="s">
        <v>2579</v>
      </c>
      <c r="G434" s="8" t="s">
        <v>2580</v>
      </c>
      <c r="H434" s="8" t="s">
        <v>258</v>
      </c>
      <c r="I434" s="8" t="s">
        <v>2581</v>
      </c>
      <c r="J434" s="8" t="s">
        <v>2582</v>
      </c>
    </row>
    <row r="435" customFormat="false" ht="15" hidden="false" customHeight="false" outlineLevel="0" collapsed="false">
      <c r="A435" s="8" t="s">
        <v>2583</v>
      </c>
      <c r="B435" s="8" t="s">
        <v>2550</v>
      </c>
      <c r="C435" s="9" t="n">
        <v>4</v>
      </c>
      <c r="D435" s="11" t="s">
        <v>2584</v>
      </c>
      <c r="E435" s="8"/>
      <c r="F435" s="8" t="s">
        <v>2585</v>
      </c>
      <c r="G435" s="8" t="s">
        <v>2586</v>
      </c>
      <c r="H435" s="8" t="s">
        <v>15</v>
      </c>
      <c r="I435" s="8" t="s">
        <v>2587</v>
      </c>
      <c r="J435" s="8" t="s">
        <v>2588</v>
      </c>
    </row>
    <row r="436" customFormat="false" ht="23.85" hidden="false" customHeight="false" outlineLevel="0" collapsed="false">
      <c r="A436" s="5" t="s">
        <v>2589</v>
      </c>
      <c r="B436" s="5" t="s">
        <v>2390</v>
      </c>
      <c r="C436" s="6" t="n">
        <v>2</v>
      </c>
      <c r="D436" s="7" t="s">
        <v>2590</v>
      </c>
      <c r="E436" s="5" t="s">
        <v>2591</v>
      </c>
      <c r="F436" s="5" t="s">
        <v>2592</v>
      </c>
      <c r="G436" s="5" t="s">
        <v>2593</v>
      </c>
      <c r="H436" s="5" t="s">
        <v>258</v>
      </c>
      <c r="I436" s="5"/>
      <c r="J436" s="5" t="s">
        <v>2594</v>
      </c>
    </row>
    <row r="437" customFormat="false" ht="15" hidden="false" customHeight="false" outlineLevel="0" collapsed="false">
      <c r="A437" s="8" t="s">
        <v>2595</v>
      </c>
      <c r="B437" s="8" t="s">
        <v>2589</v>
      </c>
      <c r="C437" s="9" t="n">
        <v>3</v>
      </c>
      <c r="D437" s="10" t="s">
        <v>2596</v>
      </c>
      <c r="E437" s="8" t="s">
        <v>2597</v>
      </c>
      <c r="F437" s="8" t="s">
        <v>2598</v>
      </c>
      <c r="G437" s="8" t="s">
        <v>2599</v>
      </c>
      <c r="H437" s="8" t="s">
        <v>258</v>
      </c>
      <c r="I437" s="8"/>
      <c r="J437" s="8" t="s">
        <v>2600</v>
      </c>
    </row>
    <row r="438" customFormat="false" ht="23.85" hidden="false" customHeight="false" outlineLevel="0" collapsed="false">
      <c r="A438" s="8" t="s">
        <v>2601</v>
      </c>
      <c r="B438" s="8" t="s">
        <v>2589</v>
      </c>
      <c r="C438" s="9" t="n">
        <v>3</v>
      </c>
      <c r="D438" s="10" t="s">
        <v>2602</v>
      </c>
      <c r="E438" s="8"/>
      <c r="F438" s="8" t="s">
        <v>2603</v>
      </c>
      <c r="G438" s="8" t="s">
        <v>2604</v>
      </c>
      <c r="H438" s="8" t="s">
        <v>258</v>
      </c>
      <c r="I438" s="8" t="s">
        <v>2605</v>
      </c>
      <c r="J438" s="8" t="s">
        <v>2606</v>
      </c>
    </row>
    <row r="439" customFormat="false" ht="15" hidden="false" customHeight="false" outlineLevel="0" collapsed="false">
      <c r="A439" s="8" t="s">
        <v>2607</v>
      </c>
      <c r="B439" s="8" t="s">
        <v>2589</v>
      </c>
      <c r="C439" s="9" t="n">
        <v>3</v>
      </c>
      <c r="D439" s="10" t="s">
        <v>2608</v>
      </c>
      <c r="E439" s="8"/>
      <c r="F439" s="8" t="s">
        <v>2609</v>
      </c>
      <c r="G439" s="8" t="s">
        <v>2610</v>
      </c>
      <c r="H439" s="8" t="s">
        <v>258</v>
      </c>
      <c r="I439" s="8"/>
      <c r="J439" s="8" t="s">
        <v>2611</v>
      </c>
    </row>
    <row r="440" customFormat="false" ht="23.85" hidden="false" customHeight="false" outlineLevel="0" collapsed="false">
      <c r="A440" s="8" t="s">
        <v>2612</v>
      </c>
      <c r="B440" s="8" t="s">
        <v>2589</v>
      </c>
      <c r="C440" s="9" t="n">
        <v>3</v>
      </c>
      <c r="D440" s="10" t="s">
        <v>2613</v>
      </c>
      <c r="E440" s="8"/>
      <c r="F440" s="8" t="s">
        <v>2614</v>
      </c>
      <c r="G440" s="8" t="s">
        <v>2615</v>
      </c>
      <c r="H440" s="8" t="s">
        <v>258</v>
      </c>
      <c r="I440" s="8"/>
      <c r="J440" s="8" t="s">
        <v>2616</v>
      </c>
    </row>
    <row r="441" customFormat="false" ht="15" hidden="false" customHeight="false" outlineLevel="0" collapsed="false">
      <c r="A441" s="8" t="s">
        <v>2617</v>
      </c>
      <c r="B441" s="8" t="s">
        <v>2589</v>
      </c>
      <c r="C441" s="9" t="n">
        <v>3</v>
      </c>
      <c r="D441" s="10" t="s">
        <v>2618</v>
      </c>
      <c r="E441" s="8"/>
      <c r="F441" s="8" t="s">
        <v>2619</v>
      </c>
      <c r="G441" s="8" t="s">
        <v>2620</v>
      </c>
      <c r="H441" s="8" t="s">
        <v>258</v>
      </c>
      <c r="I441" s="8"/>
      <c r="J441" s="8" t="s">
        <v>2621</v>
      </c>
    </row>
    <row r="442" customFormat="false" ht="15" hidden="false" customHeight="false" outlineLevel="0" collapsed="false">
      <c r="A442" s="8" t="s">
        <v>2622</v>
      </c>
      <c r="B442" s="8" t="s">
        <v>2589</v>
      </c>
      <c r="C442" s="9" t="n">
        <v>3</v>
      </c>
      <c r="D442" s="10" t="s">
        <v>2623</v>
      </c>
      <c r="E442" s="8" t="s">
        <v>2624</v>
      </c>
      <c r="F442" s="8" t="s">
        <v>2625</v>
      </c>
      <c r="G442" s="8" t="s">
        <v>2626</v>
      </c>
      <c r="H442" s="8" t="s">
        <v>258</v>
      </c>
      <c r="I442" s="8"/>
      <c r="J442" s="8" t="s">
        <v>2627</v>
      </c>
    </row>
    <row r="443" customFormat="false" ht="23.85" hidden="false" customHeight="false" outlineLevel="0" collapsed="false">
      <c r="A443" s="8" t="s">
        <v>2628</v>
      </c>
      <c r="B443" s="8" t="s">
        <v>2589</v>
      </c>
      <c r="C443" s="9" t="n">
        <v>3</v>
      </c>
      <c r="D443" s="10" t="s">
        <v>2629</v>
      </c>
      <c r="E443" s="8" t="s">
        <v>2630</v>
      </c>
      <c r="F443" s="8" t="s">
        <v>2631</v>
      </c>
      <c r="G443" s="8" t="s">
        <v>2632</v>
      </c>
      <c r="H443" s="8" t="s">
        <v>258</v>
      </c>
      <c r="I443" s="8" t="s">
        <v>2633</v>
      </c>
      <c r="J443" s="8" t="s">
        <v>2634</v>
      </c>
    </row>
    <row r="444" customFormat="false" ht="23.85" hidden="false" customHeight="false" outlineLevel="0" collapsed="false">
      <c r="A444" s="5" t="s">
        <v>2635</v>
      </c>
      <c r="B444" s="5" t="s">
        <v>2390</v>
      </c>
      <c r="C444" s="6" t="n">
        <v>2</v>
      </c>
      <c r="D444" s="7" t="s">
        <v>2636</v>
      </c>
      <c r="E444" s="5" t="s">
        <v>2637</v>
      </c>
      <c r="F444" s="5" t="s">
        <v>2638</v>
      </c>
      <c r="G444" s="5" t="s">
        <v>2639</v>
      </c>
      <c r="H444" s="5" t="s">
        <v>258</v>
      </c>
      <c r="I444" s="5" t="s">
        <v>2640</v>
      </c>
      <c r="J444" s="5" t="s">
        <v>2641</v>
      </c>
    </row>
    <row r="445" customFormat="false" ht="46.25" hidden="false" customHeight="false" outlineLevel="0" collapsed="false">
      <c r="A445" s="2" t="s">
        <v>2642</v>
      </c>
      <c r="B445" s="2"/>
      <c r="C445" s="3" t="n">
        <v>1</v>
      </c>
      <c r="D445" s="4" t="s">
        <v>2643</v>
      </c>
      <c r="E445" s="2" t="s">
        <v>2644</v>
      </c>
      <c r="F445" s="2" t="s">
        <v>2645</v>
      </c>
      <c r="G445" s="2" t="s">
        <v>2646</v>
      </c>
      <c r="H445" s="2" t="s">
        <v>258</v>
      </c>
      <c r="I445" s="2" t="s">
        <v>2647</v>
      </c>
      <c r="J445" s="2" t="s">
        <v>2643</v>
      </c>
    </row>
    <row r="446" customFormat="false" ht="23.85" hidden="false" customHeight="false" outlineLevel="0" collapsed="false">
      <c r="A446" s="5" t="s">
        <v>2648</v>
      </c>
      <c r="B446" s="5" t="s">
        <v>2642</v>
      </c>
      <c r="C446" s="6" t="n">
        <v>2</v>
      </c>
      <c r="D446" s="7" t="s">
        <v>2649</v>
      </c>
      <c r="E446" s="5" t="s">
        <v>2650</v>
      </c>
      <c r="F446" s="5" t="s">
        <v>2651</v>
      </c>
      <c r="G446" s="5" t="s">
        <v>2652</v>
      </c>
      <c r="H446" s="5" t="s">
        <v>258</v>
      </c>
      <c r="I446" s="5" t="s">
        <v>2653</v>
      </c>
      <c r="J446" s="5" t="s">
        <v>2654</v>
      </c>
    </row>
    <row r="447" customFormat="false" ht="23.85" hidden="false" customHeight="false" outlineLevel="0" collapsed="false">
      <c r="A447" s="8" t="s">
        <v>2655</v>
      </c>
      <c r="B447" s="8" t="s">
        <v>2648</v>
      </c>
      <c r="C447" s="9" t="n">
        <v>3</v>
      </c>
      <c r="D447" s="10" t="s">
        <v>2656</v>
      </c>
      <c r="E447" s="8" t="s">
        <v>2657</v>
      </c>
      <c r="F447" s="8" t="s">
        <v>2658</v>
      </c>
      <c r="G447" s="8" t="s">
        <v>2659</v>
      </c>
      <c r="H447" s="8" t="s">
        <v>258</v>
      </c>
      <c r="I447" s="8"/>
      <c r="J447" s="8" t="s">
        <v>2660</v>
      </c>
    </row>
    <row r="448" customFormat="false" ht="23.85" hidden="false" customHeight="false" outlineLevel="0" collapsed="false">
      <c r="A448" s="8" t="s">
        <v>2661</v>
      </c>
      <c r="B448" s="8" t="s">
        <v>2648</v>
      </c>
      <c r="C448" s="9" t="n">
        <v>3</v>
      </c>
      <c r="D448" s="10" t="s">
        <v>2662</v>
      </c>
      <c r="E448" s="8"/>
      <c r="F448" s="8" t="s">
        <v>2663</v>
      </c>
      <c r="G448" s="8" t="s">
        <v>2664</v>
      </c>
      <c r="H448" s="8" t="s">
        <v>258</v>
      </c>
      <c r="I448" s="8" t="s">
        <v>2665</v>
      </c>
      <c r="J448" s="8" t="s">
        <v>2666</v>
      </c>
    </row>
    <row r="449" customFormat="false" ht="23.85" hidden="false" customHeight="false" outlineLevel="0" collapsed="false">
      <c r="A449" s="8" t="s">
        <v>2667</v>
      </c>
      <c r="B449" s="8" t="s">
        <v>2661</v>
      </c>
      <c r="C449" s="9" t="n">
        <v>4</v>
      </c>
      <c r="D449" s="11" t="s">
        <v>2668</v>
      </c>
      <c r="E449" s="8"/>
      <c r="F449" s="8" t="s">
        <v>2669</v>
      </c>
      <c r="G449" s="8" t="s">
        <v>2670</v>
      </c>
      <c r="H449" s="8" t="s">
        <v>258</v>
      </c>
      <c r="I449" s="8"/>
      <c r="J449" s="8" t="s">
        <v>2671</v>
      </c>
    </row>
    <row r="450" customFormat="false" ht="15" hidden="false" customHeight="false" outlineLevel="0" collapsed="false">
      <c r="A450" s="8" t="s">
        <v>2672</v>
      </c>
      <c r="B450" s="8" t="s">
        <v>2648</v>
      </c>
      <c r="C450" s="9" t="n">
        <v>3</v>
      </c>
      <c r="D450" s="10" t="s">
        <v>2673</v>
      </c>
      <c r="E450" s="8"/>
      <c r="F450" s="8" t="s">
        <v>2674</v>
      </c>
      <c r="G450" s="8" t="s">
        <v>2675</v>
      </c>
      <c r="H450" s="8" t="s">
        <v>258</v>
      </c>
      <c r="I450" s="8"/>
      <c r="J450" s="8" t="s">
        <v>2676</v>
      </c>
    </row>
    <row r="451" customFormat="false" ht="23.85" hidden="false" customHeight="false" outlineLevel="0" collapsed="false">
      <c r="A451" s="8" t="s">
        <v>2677</v>
      </c>
      <c r="B451" s="8" t="s">
        <v>2672</v>
      </c>
      <c r="C451" s="9" t="n">
        <v>4</v>
      </c>
      <c r="D451" s="11" t="s">
        <v>2678</v>
      </c>
      <c r="E451" s="8"/>
      <c r="F451" s="8" t="s">
        <v>2679</v>
      </c>
      <c r="G451" s="8" t="s">
        <v>2680</v>
      </c>
      <c r="H451" s="8" t="s">
        <v>258</v>
      </c>
      <c r="I451" s="8"/>
      <c r="J451" s="8" t="s">
        <v>2681</v>
      </c>
    </row>
    <row r="452" customFormat="false" ht="23.85" hidden="false" customHeight="false" outlineLevel="0" collapsed="false">
      <c r="A452" s="8" t="s">
        <v>2682</v>
      </c>
      <c r="B452" s="8" t="s">
        <v>2672</v>
      </c>
      <c r="C452" s="9" t="n">
        <v>4</v>
      </c>
      <c r="D452" s="11" t="s">
        <v>2683</v>
      </c>
      <c r="E452" s="8"/>
      <c r="F452" s="8" t="s">
        <v>2684</v>
      </c>
      <c r="G452" s="8" t="s">
        <v>2685</v>
      </c>
      <c r="H452" s="8" t="s">
        <v>258</v>
      </c>
      <c r="I452" s="8"/>
      <c r="J452" s="8" t="s">
        <v>2686</v>
      </c>
    </row>
    <row r="453" customFormat="false" ht="23.85" hidden="false" customHeight="false" outlineLevel="0" collapsed="false">
      <c r="A453" s="8" t="s">
        <v>2687</v>
      </c>
      <c r="B453" s="8" t="s">
        <v>2648</v>
      </c>
      <c r="C453" s="9" t="n">
        <v>3</v>
      </c>
      <c r="D453" s="10" t="s">
        <v>2688</v>
      </c>
      <c r="E453" s="8" t="s">
        <v>2689</v>
      </c>
      <c r="F453" s="8" t="s">
        <v>2690</v>
      </c>
      <c r="G453" s="8" t="s">
        <v>2691</v>
      </c>
      <c r="H453" s="8" t="s">
        <v>258</v>
      </c>
      <c r="I453" s="8" t="s">
        <v>2692</v>
      </c>
      <c r="J453" s="8" t="s">
        <v>2693</v>
      </c>
    </row>
    <row r="454" customFormat="false" ht="23.85" hidden="false" customHeight="false" outlineLevel="0" collapsed="false">
      <c r="A454" s="8" t="s">
        <v>2694</v>
      </c>
      <c r="B454" s="8" t="s">
        <v>2648</v>
      </c>
      <c r="C454" s="9" t="n">
        <v>3</v>
      </c>
      <c r="D454" s="10" t="s">
        <v>2695</v>
      </c>
      <c r="E454" s="8"/>
      <c r="F454" s="8" t="s">
        <v>2696</v>
      </c>
      <c r="G454" s="8" t="s">
        <v>2697</v>
      </c>
      <c r="H454" s="8" t="s">
        <v>258</v>
      </c>
      <c r="I454" s="8"/>
      <c r="J454" s="8" t="s">
        <v>2698</v>
      </c>
    </row>
    <row r="455" customFormat="false" ht="23.85" hidden="false" customHeight="false" outlineLevel="0" collapsed="false">
      <c r="A455" s="8" t="s">
        <v>2699</v>
      </c>
      <c r="B455" s="8" t="s">
        <v>2648</v>
      </c>
      <c r="C455" s="9" t="n">
        <v>3</v>
      </c>
      <c r="D455" s="10" t="s">
        <v>2700</v>
      </c>
      <c r="E455" s="8"/>
      <c r="F455" s="8" t="s">
        <v>2701</v>
      </c>
      <c r="G455" s="8" t="s">
        <v>2702</v>
      </c>
      <c r="H455" s="8" t="s">
        <v>258</v>
      </c>
      <c r="I455" s="8"/>
      <c r="J455" s="8" t="s">
        <v>2703</v>
      </c>
    </row>
    <row r="456" customFormat="false" ht="15" hidden="false" customHeight="false" outlineLevel="0" collapsed="false">
      <c r="A456" s="8" t="s">
        <v>2704</v>
      </c>
      <c r="B456" s="8" t="s">
        <v>2648</v>
      </c>
      <c r="C456" s="9" t="n">
        <v>3</v>
      </c>
      <c r="D456" s="10" t="s">
        <v>2705</v>
      </c>
      <c r="E456" s="8"/>
      <c r="F456" s="8" t="s">
        <v>2706</v>
      </c>
      <c r="G456" s="8" t="s">
        <v>2707</v>
      </c>
      <c r="H456" s="8" t="s">
        <v>258</v>
      </c>
      <c r="I456" s="8"/>
      <c r="J456" s="8" t="s">
        <v>2708</v>
      </c>
    </row>
    <row r="457" customFormat="false" ht="15" hidden="false" customHeight="false" outlineLevel="0" collapsed="false">
      <c r="A457" s="8" t="s">
        <v>2709</v>
      </c>
      <c r="B457" s="8" t="s">
        <v>2648</v>
      </c>
      <c r="C457" s="9" t="n">
        <v>3</v>
      </c>
      <c r="D457" s="10" t="s">
        <v>2710</v>
      </c>
      <c r="E457" s="8"/>
      <c r="F457" s="8" t="s">
        <v>2711</v>
      </c>
      <c r="G457" s="8" t="s">
        <v>2712</v>
      </c>
      <c r="H457" s="8" t="s">
        <v>258</v>
      </c>
      <c r="I457" s="8" t="s">
        <v>2713</v>
      </c>
      <c r="J457" s="8" t="s">
        <v>2714</v>
      </c>
    </row>
    <row r="458" customFormat="false" ht="23.85" hidden="false" customHeight="false" outlineLevel="0" collapsed="false">
      <c r="A458" s="8" t="s">
        <v>2715</v>
      </c>
      <c r="B458" s="8" t="s">
        <v>2648</v>
      </c>
      <c r="C458" s="9" t="n">
        <v>3</v>
      </c>
      <c r="D458" s="10" t="s">
        <v>2716</v>
      </c>
      <c r="E458" s="8"/>
      <c r="F458" s="8" t="s">
        <v>2717</v>
      </c>
      <c r="G458" s="8" t="s">
        <v>2718</v>
      </c>
      <c r="H458" s="8" t="s">
        <v>258</v>
      </c>
      <c r="I458" s="8"/>
      <c r="J458" s="8" t="s">
        <v>2719</v>
      </c>
    </row>
    <row r="459" customFormat="false" ht="23.85" hidden="false" customHeight="false" outlineLevel="0" collapsed="false">
      <c r="A459" s="5" t="s">
        <v>2720</v>
      </c>
      <c r="B459" s="5" t="s">
        <v>2642</v>
      </c>
      <c r="C459" s="6" t="n">
        <v>2</v>
      </c>
      <c r="D459" s="7" t="s">
        <v>2721</v>
      </c>
      <c r="E459" s="5"/>
      <c r="F459" s="5" t="s">
        <v>2722</v>
      </c>
      <c r="G459" s="5" t="s">
        <v>2723</v>
      </c>
      <c r="H459" s="5" t="s">
        <v>258</v>
      </c>
      <c r="I459" s="5" t="s">
        <v>2724</v>
      </c>
      <c r="J459" s="5" t="s">
        <v>2725</v>
      </c>
    </row>
    <row r="460" customFormat="false" ht="15" hidden="false" customHeight="false" outlineLevel="0" collapsed="false">
      <c r="A460" s="5" t="s">
        <v>2726</v>
      </c>
      <c r="B460" s="5" t="s">
        <v>2642</v>
      </c>
      <c r="C460" s="6" t="n">
        <v>2</v>
      </c>
      <c r="D460" s="7" t="s">
        <v>2727</v>
      </c>
      <c r="E460" s="5"/>
      <c r="F460" s="5" t="s">
        <v>2728</v>
      </c>
      <c r="G460" s="5" t="s">
        <v>2729</v>
      </c>
      <c r="H460" s="5" t="s">
        <v>258</v>
      </c>
      <c r="I460" s="5"/>
      <c r="J460" s="5" t="s">
        <v>2730</v>
      </c>
    </row>
    <row r="461" customFormat="false" ht="15" hidden="false" customHeight="false" outlineLevel="0" collapsed="false">
      <c r="A461" s="5" t="s">
        <v>2731</v>
      </c>
      <c r="B461" s="5" t="s">
        <v>2642</v>
      </c>
      <c r="C461" s="6" t="n">
        <v>2</v>
      </c>
      <c r="D461" s="7" t="s">
        <v>2732</v>
      </c>
      <c r="E461" s="5"/>
      <c r="F461" s="5" t="s">
        <v>2733</v>
      </c>
      <c r="G461" s="5" t="s">
        <v>2734</v>
      </c>
      <c r="H461" s="5" t="s">
        <v>258</v>
      </c>
      <c r="I461" s="5"/>
      <c r="J461" s="5" t="s">
        <v>2735</v>
      </c>
    </row>
    <row r="462" customFormat="false" ht="15" hidden="false" customHeight="false" outlineLevel="0" collapsed="false">
      <c r="A462" s="8" t="s">
        <v>2736</v>
      </c>
      <c r="B462" s="8" t="s">
        <v>2731</v>
      </c>
      <c r="C462" s="9" t="n">
        <v>3</v>
      </c>
      <c r="D462" s="10" t="s">
        <v>2737</v>
      </c>
      <c r="E462" s="8"/>
      <c r="F462" s="8" t="s">
        <v>2738</v>
      </c>
      <c r="G462" s="8" t="s">
        <v>2739</v>
      </c>
      <c r="H462" s="8" t="s">
        <v>258</v>
      </c>
      <c r="I462" s="8"/>
      <c r="J462" s="8" t="s">
        <v>2740</v>
      </c>
    </row>
    <row r="463" customFormat="false" ht="15" hidden="false" customHeight="false" outlineLevel="0" collapsed="false">
      <c r="A463" s="8" t="s">
        <v>2741</v>
      </c>
      <c r="B463" s="8" t="s">
        <v>2731</v>
      </c>
      <c r="C463" s="9" t="n">
        <v>3</v>
      </c>
      <c r="D463" s="10" t="s">
        <v>2742</v>
      </c>
      <c r="E463" s="8"/>
      <c r="F463" s="8" t="s">
        <v>2743</v>
      </c>
      <c r="G463" s="8" t="s">
        <v>2744</v>
      </c>
      <c r="H463" s="8" t="s">
        <v>258</v>
      </c>
      <c r="I463" s="8" t="s">
        <v>2745</v>
      </c>
      <c r="J463" s="8" t="s">
        <v>2746</v>
      </c>
    </row>
    <row r="464" customFormat="false" ht="15" hidden="false" customHeight="false" outlineLevel="0" collapsed="false">
      <c r="A464" s="8" t="s">
        <v>2747</v>
      </c>
      <c r="B464" s="8" t="s">
        <v>2731</v>
      </c>
      <c r="C464" s="9" t="n">
        <v>3</v>
      </c>
      <c r="D464" s="10" t="s">
        <v>2748</v>
      </c>
      <c r="E464" s="8"/>
      <c r="F464" s="8" t="s">
        <v>2749</v>
      </c>
      <c r="G464" s="8" t="s">
        <v>2750</v>
      </c>
      <c r="H464" s="8" t="s">
        <v>258</v>
      </c>
      <c r="I464" s="8"/>
      <c r="J464" s="8" t="s">
        <v>2751</v>
      </c>
    </row>
    <row r="465" customFormat="false" ht="15" hidden="false" customHeight="false" outlineLevel="0" collapsed="false">
      <c r="A465" s="8" t="s">
        <v>2752</v>
      </c>
      <c r="B465" s="8" t="s">
        <v>2731</v>
      </c>
      <c r="C465" s="9" t="n">
        <v>3</v>
      </c>
      <c r="D465" s="10" t="s">
        <v>2753</v>
      </c>
      <c r="E465" s="8"/>
      <c r="F465" s="8" t="s">
        <v>2754</v>
      </c>
      <c r="G465" s="8" t="s">
        <v>2755</v>
      </c>
      <c r="H465" s="8" t="s">
        <v>258</v>
      </c>
      <c r="I465" s="8"/>
      <c r="J465" s="8" t="s">
        <v>2756</v>
      </c>
    </row>
    <row r="466" customFormat="false" ht="15" hidden="false" customHeight="false" outlineLevel="0" collapsed="false">
      <c r="A466" s="5" t="s">
        <v>2757</v>
      </c>
      <c r="B466" s="5" t="s">
        <v>2642</v>
      </c>
      <c r="C466" s="6" t="n">
        <v>2</v>
      </c>
      <c r="D466" s="7" t="s">
        <v>2758</v>
      </c>
      <c r="E466" s="5"/>
      <c r="F466" s="5" t="s">
        <v>2759</v>
      </c>
      <c r="G466" s="5" t="s">
        <v>2760</v>
      </c>
      <c r="H466" s="5" t="s">
        <v>258</v>
      </c>
      <c r="I466" s="5"/>
      <c r="J466" s="5" t="s">
        <v>2761</v>
      </c>
    </row>
    <row r="467" customFormat="false" ht="15" hidden="false" customHeight="false" outlineLevel="0" collapsed="false">
      <c r="A467" s="5" t="s">
        <v>2762</v>
      </c>
      <c r="B467" s="5" t="s">
        <v>2642</v>
      </c>
      <c r="C467" s="6" t="n">
        <v>2</v>
      </c>
      <c r="D467" s="7" t="s">
        <v>2763</v>
      </c>
      <c r="E467" s="5" t="s">
        <v>2764</v>
      </c>
      <c r="F467" s="5" t="s">
        <v>2765</v>
      </c>
      <c r="G467" s="5" t="s">
        <v>2766</v>
      </c>
      <c r="H467" s="5" t="s">
        <v>258</v>
      </c>
      <c r="I467" s="5"/>
      <c r="J467" s="5" t="s">
        <v>2767</v>
      </c>
    </row>
    <row r="468" customFormat="false" ht="23.85" hidden="false" customHeight="false" outlineLevel="0" collapsed="false">
      <c r="A468" s="5" t="s">
        <v>2768</v>
      </c>
      <c r="B468" s="5" t="s">
        <v>2642</v>
      </c>
      <c r="C468" s="6" t="n">
        <v>2</v>
      </c>
      <c r="D468" s="7" t="s">
        <v>2769</v>
      </c>
      <c r="E468" s="5" t="s">
        <v>2770</v>
      </c>
      <c r="F468" s="5" t="s">
        <v>2771</v>
      </c>
      <c r="G468" s="5" t="s">
        <v>2772</v>
      </c>
      <c r="H468" s="5" t="s">
        <v>258</v>
      </c>
      <c r="I468" s="5" t="s">
        <v>2773</v>
      </c>
      <c r="J468" s="5" t="s">
        <v>2774</v>
      </c>
    </row>
    <row r="469" customFormat="false" ht="23.85" hidden="false" customHeight="false" outlineLevel="0" collapsed="false">
      <c r="A469" s="5" t="s">
        <v>2775</v>
      </c>
      <c r="B469" s="5" t="s">
        <v>2642</v>
      </c>
      <c r="C469" s="6" t="n">
        <v>2</v>
      </c>
      <c r="D469" s="7" t="s">
        <v>2776</v>
      </c>
      <c r="E469" s="5" t="s">
        <v>2777</v>
      </c>
      <c r="F469" s="5" t="s">
        <v>2778</v>
      </c>
      <c r="G469" s="5" t="s">
        <v>2779</v>
      </c>
      <c r="H469" s="5" t="s">
        <v>258</v>
      </c>
      <c r="I469" s="5" t="s">
        <v>2780</v>
      </c>
      <c r="J469" s="5" t="s">
        <v>2781</v>
      </c>
    </row>
    <row r="470" customFormat="false" ht="35.05" hidden="false" customHeight="false" outlineLevel="0" collapsed="false">
      <c r="A470" s="2" t="s">
        <v>2782</v>
      </c>
      <c r="B470" s="2"/>
      <c r="C470" s="3" t="n">
        <v>1</v>
      </c>
      <c r="D470" s="4" t="s">
        <v>2783</v>
      </c>
      <c r="E470" s="2" t="s">
        <v>2784</v>
      </c>
      <c r="F470" s="2" t="s">
        <v>2785</v>
      </c>
      <c r="G470" s="2" t="s">
        <v>2786</v>
      </c>
      <c r="H470" s="2" t="s">
        <v>15</v>
      </c>
      <c r="I470" s="2" t="s">
        <v>2787</v>
      </c>
      <c r="J470" s="2" t="s">
        <v>2783</v>
      </c>
    </row>
    <row r="471" customFormat="false" ht="23.85" hidden="false" customHeight="false" outlineLevel="0" collapsed="false">
      <c r="A471" s="5" t="s">
        <v>2788</v>
      </c>
      <c r="B471" s="5" t="s">
        <v>2782</v>
      </c>
      <c r="C471" s="6" t="n">
        <v>2</v>
      </c>
      <c r="D471" s="7" t="s">
        <v>2789</v>
      </c>
      <c r="E471" s="5" t="s">
        <v>2790</v>
      </c>
      <c r="F471" s="5" t="s">
        <v>2791</v>
      </c>
      <c r="G471" s="5" t="s">
        <v>2792</v>
      </c>
      <c r="H471" s="5" t="s">
        <v>15</v>
      </c>
      <c r="I471" s="5" t="s">
        <v>2793</v>
      </c>
      <c r="J471" s="5" t="s">
        <v>2794</v>
      </c>
    </row>
    <row r="472" customFormat="false" ht="23.85" hidden="false" customHeight="false" outlineLevel="0" collapsed="false">
      <c r="A472" s="8" t="s">
        <v>2795</v>
      </c>
      <c r="B472" s="8" t="s">
        <v>2788</v>
      </c>
      <c r="C472" s="9" t="n">
        <v>3</v>
      </c>
      <c r="D472" s="10" t="s">
        <v>2796</v>
      </c>
      <c r="E472" s="8" t="s">
        <v>2797</v>
      </c>
      <c r="F472" s="8" t="s">
        <v>2798</v>
      </c>
      <c r="G472" s="8" t="s">
        <v>2799</v>
      </c>
      <c r="H472" s="8" t="s">
        <v>15</v>
      </c>
      <c r="I472" s="8"/>
      <c r="J472" s="8" t="s">
        <v>2800</v>
      </c>
    </row>
    <row r="473" customFormat="false" ht="15" hidden="false" customHeight="false" outlineLevel="0" collapsed="false">
      <c r="A473" s="8" t="s">
        <v>2801</v>
      </c>
      <c r="B473" s="8" t="s">
        <v>2788</v>
      </c>
      <c r="C473" s="9" t="n">
        <v>3</v>
      </c>
      <c r="D473" s="10" t="s">
        <v>2802</v>
      </c>
      <c r="E473" s="8"/>
      <c r="F473" s="8" t="s">
        <v>2803</v>
      </c>
      <c r="G473" s="8" t="s">
        <v>2804</v>
      </c>
      <c r="H473" s="8" t="s">
        <v>15</v>
      </c>
      <c r="I473" s="8"/>
      <c r="J473" s="8" t="s">
        <v>2805</v>
      </c>
    </row>
    <row r="474" customFormat="false" ht="23.85" hidden="false" customHeight="false" outlineLevel="0" collapsed="false">
      <c r="A474" s="8" t="s">
        <v>2806</v>
      </c>
      <c r="B474" s="8" t="s">
        <v>2788</v>
      </c>
      <c r="C474" s="9" t="n">
        <v>3</v>
      </c>
      <c r="D474" s="10" t="s">
        <v>2807</v>
      </c>
      <c r="E474" s="8"/>
      <c r="F474" s="8" t="s">
        <v>2808</v>
      </c>
      <c r="G474" s="8" t="s">
        <v>2809</v>
      </c>
      <c r="H474" s="8" t="s">
        <v>15</v>
      </c>
      <c r="I474" s="8" t="s">
        <v>2810</v>
      </c>
      <c r="J474" s="8" t="s">
        <v>2811</v>
      </c>
    </row>
    <row r="475" customFormat="false" ht="23.85" hidden="false" customHeight="false" outlineLevel="0" collapsed="false">
      <c r="A475" s="8" t="s">
        <v>2812</v>
      </c>
      <c r="B475" s="8" t="s">
        <v>2788</v>
      </c>
      <c r="C475" s="9" t="n">
        <v>3</v>
      </c>
      <c r="D475" s="10" t="s">
        <v>2813</v>
      </c>
      <c r="E475" s="8"/>
      <c r="F475" s="8" t="s">
        <v>2814</v>
      </c>
      <c r="G475" s="8" t="s">
        <v>2815</v>
      </c>
      <c r="H475" s="8" t="s">
        <v>15</v>
      </c>
      <c r="I475" s="8" t="s">
        <v>2816</v>
      </c>
      <c r="J475" s="8" t="s">
        <v>2817</v>
      </c>
    </row>
    <row r="476" customFormat="false" ht="35.05" hidden="false" customHeight="false" outlineLevel="0" collapsed="false">
      <c r="A476" s="5" t="s">
        <v>2818</v>
      </c>
      <c r="B476" s="5" t="s">
        <v>2782</v>
      </c>
      <c r="C476" s="6" t="n">
        <v>2</v>
      </c>
      <c r="D476" s="7" t="s">
        <v>2819</v>
      </c>
      <c r="E476" s="5"/>
      <c r="F476" s="5" t="s">
        <v>2820</v>
      </c>
      <c r="G476" s="5" t="s">
        <v>2821</v>
      </c>
      <c r="H476" s="5" t="s">
        <v>15</v>
      </c>
      <c r="I476" s="5" t="s">
        <v>2822</v>
      </c>
      <c r="J476" s="5" t="s">
        <v>2823</v>
      </c>
    </row>
    <row r="477" customFormat="false" ht="23.85" hidden="false" customHeight="false" outlineLevel="0" collapsed="false">
      <c r="A477" s="8" t="s">
        <v>2824</v>
      </c>
      <c r="B477" s="8" t="s">
        <v>2818</v>
      </c>
      <c r="C477" s="9" t="n">
        <v>3</v>
      </c>
      <c r="D477" s="10" t="s">
        <v>2825</v>
      </c>
      <c r="E477" s="8" t="s">
        <v>2826</v>
      </c>
      <c r="F477" s="8" t="s">
        <v>2827</v>
      </c>
      <c r="G477" s="8" t="s">
        <v>2828</v>
      </c>
      <c r="H477" s="8" t="s">
        <v>15</v>
      </c>
      <c r="I477" s="8" t="s">
        <v>2829</v>
      </c>
      <c r="J477" s="8" t="s">
        <v>2830</v>
      </c>
    </row>
    <row r="478" customFormat="false" ht="23.85" hidden="false" customHeight="false" outlineLevel="0" collapsed="false">
      <c r="A478" s="8" t="s">
        <v>2831</v>
      </c>
      <c r="B478" s="8" t="s">
        <v>2818</v>
      </c>
      <c r="C478" s="9" t="n">
        <v>3</v>
      </c>
      <c r="D478" s="10" t="s">
        <v>2832</v>
      </c>
      <c r="E478" s="8" t="s">
        <v>2833</v>
      </c>
      <c r="F478" s="8" t="s">
        <v>2834</v>
      </c>
      <c r="G478" s="8" t="s">
        <v>2835</v>
      </c>
      <c r="H478" s="8" t="s">
        <v>15</v>
      </c>
      <c r="I478" s="8" t="s">
        <v>2836</v>
      </c>
      <c r="J478" s="8" t="s">
        <v>2837</v>
      </c>
    </row>
    <row r="479" customFormat="false" ht="15" hidden="false" customHeight="false" outlineLevel="0" collapsed="false">
      <c r="A479" s="8" t="s">
        <v>2838</v>
      </c>
      <c r="B479" s="8" t="s">
        <v>2818</v>
      </c>
      <c r="C479" s="9" t="n">
        <v>3</v>
      </c>
      <c r="D479" s="10" t="s">
        <v>2839</v>
      </c>
      <c r="E479" s="8" t="s">
        <v>2840</v>
      </c>
      <c r="F479" s="8" t="s">
        <v>2841</v>
      </c>
      <c r="G479" s="8" t="s">
        <v>2842</v>
      </c>
      <c r="H479" s="8" t="s">
        <v>15</v>
      </c>
      <c r="I479" s="8" t="s">
        <v>2843</v>
      </c>
      <c r="J479" s="8" t="s">
        <v>2844</v>
      </c>
    </row>
    <row r="480" customFormat="false" ht="15" hidden="false" customHeight="false" outlineLevel="0" collapsed="false">
      <c r="A480" s="8" t="s">
        <v>2845</v>
      </c>
      <c r="B480" s="8" t="s">
        <v>2818</v>
      </c>
      <c r="C480" s="9" t="n">
        <v>3</v>
      </c>
      <c r="D480" s="10" t="s">
        <v>2846</v>
      </c>
      <c r="E480" s="8"/>
      <c r="F480" s="8" t="s">
        <v>2847</v>
      </c>
      <c r="G480" s="8" t="s">
        <v>2848</v>
      </c>
      <c r="H480" s="8" t="s">
        <v>15</v>
      </c>
      <c r="I480" s="8" t="s">
        <v>2843</v>
      </c>
      <c r="J480" s="8" t="s">
        <v>2849</v>
      </c>
    </row>
    <row r="481" customFormat="false" ht="46.25" hidden="false" customHeight="false" outlineLevel="0" collapsed="false">
      <c r="A481" s="5" t="s">
        <v>2850</v>
      </c>
      <c r="B481" s="5" t="s">
        <v>2782</v>
      </c>
      <c r="C481" s="6" t="n">
        <v>2</v>
      </c>
      <c r="D481" s="7" t="s">
        <v>2851</v>
      </c>
      <c r="E481" s="5" t="s">
        <v>2852</v>
      </c>
      <c r="F481" s="5" t="s">
        <v>2853</v>
      </c>
      <c r="G481" s="5" t="s">
        <v>2854</v>
      </c>
      <c r="H481" s="5" t="s">
        <v>15</v>
      </c>
      <c r="I481" s="5" t="s">
        <v>2855</v>
      </c>
      <c r="J481" s="5" t="s">
        <v>2856</v>
      </c>
    </row>
    <row r="482" customFormat="false" ht="15" hidden="false" customHeight="false" outlineLevel="0" collapsed="false">
      <c r="A482" s="8" t="s">
        <v>2857</v>
      </c>
      <c r="B482" s="8" t="s">
        <v>2850</v>
      </c>
      <c r="C482" s="9" t="n">
        <v>3</v>
      </c>
      <c r="D482" s="10" t="s">
        <v>2858</v>
      </c>
      <c r="E482" s="8"/>
      <c r="F482" s="8" t="s">
        <v>2859</v>
      </c>
      <c r="G482" s="8" t="s">
        <v>2860</v>
      </c>
      <c r="H482" s="8" t="s">
        <v>15</v>
      </c>
      <c r="I482" s="8"/>
      <c r="J482" s="8" t="s">
        <v>2861</v>
      </c>
    </row>
    <row r="483" customFormat="false" ht="23.85" hidden="false" customHeight="false" outlineLevel="0" collapsed="false">
      <c r="A483" s="8" t="s">
        <v>2862</v>
      </c>
      <c r="B483" s="8" t="s">
        <v>2850</v>
      </c>
      <c r="C483" s="9" t="n">
        <v>3</v>
      </c>
      <c r="D483" s="10" t="s">
        <v>2863</v>
      </c>
      <c r="E483" s="8"/>
      <c r="F483" s="8" t="s">
        <v>2864</v>
      </c>
      <c r="G483" s="8" t="s">
        <v>2865</v>
      </c>
      <c r="H483" s="8" t="s">
        <v>15</v>
      </c>
      <c r="I483" s="8" t="s">
        <v>2866</v>
      </c>
      <c r="J483" s="8" t="s">
        <v>2867</v>
      </c>
    </row>
    <row r="484" customFormat="false" ht="23.85" hidden="false" customHeight="false" outlineLevel="0" collapsed="false">
      <c r="A484" s="8" t="s">
        <v>2868</v>
      </c>
      <c r="B484" s="8" t="s">
        <v>2850</v>
      </c>
      <c r="C484" s="9" t="n">
        <v>3</v>
      </c>
      <c r="D484" s="10" t="s">
        <v>2869</v>
      </c>
      <c r="E484" s="8" t="s">
        <v>2870</v>
      </c>
      <c r="F484" s="8" t="s">
        <v>2871</v>
      </c>
      <c r="G484" s="8" t="s">
        <v>2872</v>
      </c>
      <c r="H484" s="8" t="s">
        <v>15</v>
      </c>
      <c r="I484" s="8"/>
      <c r="J484" s="8" t="s">
        <v>2873</v>
      </c>
    </row>
    <row r="485" customFormat="false" ht="23.85" hidden="false" customHeight="false" outlineLevel="0" collapsed="false">
      <c r="A485" s="5" t="s">
        <v>2874</v>
      </c>
      <c r="B485" s="5" t="s">
        <v>2782</v>
      </c>
      <c r="C485" s="6" t="n">
        <v>2</v>
      </c>
      <c r="D485" s="7" t="s">
        <v>2875</v>
      </c>
      <c r="E485" s="5" t="s">
        <v>2876</v>
      </c>
      <c r="F485" s="5" t="s">
        <v>2877</v>
      </c>
      <c r="G485" s="5" t="s">
        <v>2878</v>
      </c>
      <c r="H485" s="5" t="s">
        <v>15</v>
      </c>
      <c r="I485" s="5" t="s">
        <v>2879</v>
      </c>
      <c r="J485" s="5" t="s">
        <v>2880</v>
      </c>
    </row>
    <row r="486" customFormat="false" ht="23.85" hidden="false" customHeight="false" outlineLevel="0" collapsed="false">
      <c r="A486" s="5" t="s">
        <v>2881</v>
      </c>
      <c r="B486" s="5" t="s">
        <v>2782</v>
      </c>
      <c r="C486" s="6" t="n">
        <v>2</v>
      </c>
      <c r="D486" s="7" t="s">
        <v>2882</v>
      </c>
      <c r="E486" s="5" t="s">
        <v>2883</v>
      </c>
      <c r="F486" s="5" t="s">
        <v>2884</v>
      </c>
      <c r="G486" s="5" t="s">
        <v>2885</v>
      </c>
      <c r="H486" s="5" t="s">
        <v>15</v>
      </c>
      <c r="I486" s="5" t="s">
        <v>2886</v>
      </c>
      <c r="J486" s="5" t="s">
        <v>2887</v>
      </c>
    </row>
    <row r="487" customFormat="false" ht="35.05" hidden="false" customHeight="false" outlineLevel="0" collapsed="false">
      <c r="A487" s="5" t="s">
        <v>2888</v>
      </c>
      <c r="B487" s="5" t="s">
        <v>2782</v>
      </c>
      <c r="C487" s="6" t="n">
        <v>2</v>
      </c>
      <c r="D487" s="7" t="s">
        <v>2889</v>
      </c>
      <c r="E487" s="5" t="s">
        <v>2890</v>
      </c>
      <c r="F487" s="5" t="s">
        <v>2891</v>
      </c>
      <c r="G487" s="5" t="s">
        <v>2892</v>
      </c>
      <c r="H487" s="5" t="s">
        <v>15</v>
      </c>
      <c r="I487" s="5" t="s">
        <v>2893</v>
      </c>
      <c r="J487" s="5" t="s">
        <v>2894</v>
      </c>
    </row>
    <row r="488" customFormat="false" ht="23.85" hidden="false" customHeight="false" outlineLevel="0" collapsed="false">
      <c r="A488" s="5" t="s">
        <v>2895</v>
      </c>
      <c r="B488" s="5" t="s">
        <v>2782</v>
      </c>
      <c r="C488" s="6" t="n">
        <v>2</v>
      </c>
      <c r="D488" s="7" t="s">
        <v>2896</v>
      </c>
      <c r="E488" s="5"/>
      <c r="F488" s="5" t="s">
        <v>2897</v>
      </c>
      <c r="G488" s="5" t="s">
        <v>2898</v>
      </c>
      <c r="H488" s="5" t="s">
        <v>258</v>
      </c>
      <c r="I488" s="5" t="s">
        <v>2899</v>
      </c>
      <c r="J488" s="5" t="s">
        <v>2900</v>
      </c>
    </row>
    <row r="489" customFormat="false" ht="15" hidden="false" customHeight="false" outlineLevel="0" collapsed="false">
      <c r="A489" s="5" t="s">
        <v>2901</v>
      </c>
      <c r="B489" s="5" t="s">
        <v>2782</v>
      </c>
      <c r="C489" s="6" t="n">
        <v>2</v>
      </c>
      <c r="D489" s="7" t="s">
        <v>2902</v>
      </c>
      <c r="E489" s="5"/>
      <c r="F489" s="5" t="s">
        <v>2903</v>
      </c>
      <c r="G489" s="5" t="s">
        <v>2904</v>
      </c>
      <c r="H489" s="5" t="s">
        <v>280</v>
      </c>
      <c r="I489" s="5"/>
      <c r="J489" s="5" t="s">
        <v>2905</v>
      </c>
    </row>
    <row r="490" customFormat="false" ht="23.85" hidden="false" customHeight="false" outlineLevel="0" collapsed="false">
      <c r="A490" s="8" t="s">
        <v>2906</v>
      </c>
      <c r="B490" s="8" t="s">
        <v>2901</v>
      </c>
      <c r="C490" s="9" t="n">
        <v>3</v>
      </c>
      <c r="D490" s="10" t="s">
        <v>2907</v>
      </c>
      <c r="E490" s="8"/>
      <c r="F490" s="8" t="s">
        <v>2908</v>
      </c>
      <c r="G490" s="8" t="s">
        <v>2909</v>
      </c>
      <c r="H490" s="8" t="s">
        <v>15</v>
      </c>
      <c r="I490" s="8" t="s">
        <v>2910</v>
      </c>
      <c r="J490" s="8" t="s">
        <v>2911</v>
      </c>
    </row>
    <row r="491" customFormat="false" ht="23.85" hidden="false" customHeight="false" outlineLevel="0" collapsed="false">
      <c r="A491" s="8" t="s">
        <v>2912</v>
      </c>
      <c r="B491" s="8" t="s">
        <v>2901</v>
      </c>
      <c r="C491" s="9" t="n">
        <v>3</v>
      </c>
      <c r="D491" s="10" t="s">
        <v>2913</v>
      </c>
      <c r="E491" s="8" t="s">
        <v>2914</v>
      </c>
      <c r="F491" s="8" t="s">
        <v>2915</v>
      </c>
      <c r="G491" s="8" t="s">
        <v>2916</v>
      </c>
      <c r="H491" s="8" t="s">
        <v>15</v>
      </c>
      <c r="I491" s="8"/>
      <c r="J491" s="8" t="s">
        <v>2917</v>
      </c>
    </row>
    <row r="492" customFormat="false" ht="23.85" hidden="false" customHeight="false" outlineLevel="0" collapsed="false">
      <c r="A492" s="8" t="s">
        <v>2918</v>
      </c>
      <c r="B492" s="8" t="s">
        <v>2901</v>
      </c>
      <c r="C492" s="9" t="n">
        <v>3</v>
      </c>
      <c r="D492" s="10" t="s">
        <v>2919</v>
      </c>
      <c r="E492" s="8"/>
      <c r="F492" s="8" t="s">
        <v>2920</v>
      </c>
      <c r="G492" s="8" t="s">
        <v>2921</v>
      </c>
      <c r="H492" s="8" t="s">
        <v>15</v>
      </c>
      <c r="I492" s="8" t="s">
        <v>2922</v>
      </c>
      <c r="J492" s="8" t="s">
        <v>2923</v>
      </c>
    </row>
    <row r="493" customFormat="false" ht="23.85" hidden="false" customHeight="false" outlineLevel="0" collapsed="false">
      <c r="A493" s="8" t="s">
        <v>2924</v>
      </c>
      <c r="B493" s="8" t="s">
        <v>2901</v>
      </c>
      <c r="C493" s="9" t="n">
        <v>3</v>
      </c>
      <c r="D493" s="10" t="s">
        <v>2925</v>
      </c>
      <c r="E493" s="8"/>
      <c r="F493" s="8" t="s">
        <v>2926</v>
      </c>
      <c r="G493" s="8" t="s">
        <v>2927</v>
      </c>
      <c r="H493" s="8" t="s">
        <v>15</v>
      </c>
      <c r="I493" s="8" t="s">
        <v>2928</v>
      </c>
      <c r="J493" s="8" t="s">
        <v>2929</v>
      </c>
    </row>
    <row r="494" customFormat="false" ht="15" hidden="false" customHeight="false" outlineLevel="0" collapsed="false">
      <c r="A494" s="8" t="s">
        <v>2930</v>
      </c>
      <c r="B494" s="8" t="s">
        <v>2901</v>
      </c>
      <c r="C494" s="9" t="n">
        <v>3</v>
      </c>
      <c r="D494" s="10" t="s">
        <v>2931</v>
      </c>
      <c r="E494" s="8" t="s">
        <v>2932</v>
      </c>
      <c r="F494" s="8" t="s">
        <v>2933</v>
      </c>
      <c r="G494" s="8" t="s">
        <v>2934</v>
      </c>
      <c r="H494" s="8" t="s">
        <v>280</v>
      </c>
      <c r="I494" s="8"/>
      <c r="J494" s="8" t="s">
        <v>2935</v>
      </c>
    </row>
    <row r="495" customFormat="false" ht="23.85" hidden="false" customHeight="false" outlineLevel="0" collapsed="false">
      <c r="A495" s="8" t="s">
        <v>2936</v>
      </c>
      <c r="B495" s="8" t="s">
        <v>2901</v>
      </c>
      <c r="C495" s="9" t="n">
        <v>3</v>
      </c>
      <c r="D495" s="10" t="s">
        <v>2937</v>
      </c>
      <c r="E495" s="8" t="s">
        <v>2938</v>
      </c>
      <c r="F495" s="8" t="s">
        <v>2939</v>
      </c>
      <c r="G495" s="8" t="s">
        <v>2940</v>
      </c>
      <c r="H495" s="8" t="s">
        <v>258</v>
      </c>
      <c r="I495" s="8"/>
      <c r="J495" s="8" t="s">
        <v>2941</v>
      </c>
    </row>
    <row r="496" customFormat="false" ht="23.85" hidden="false" customHeight="false" outlineLevel="0" collapsed="false">
      <c r="A496" s="8" t="s">
        <v>2942</v>
      </c>
      <c r="B496" s="8" t="s">
        <v>2901</v>
      </c>
      <c r="C496" s="9" t="n">
        <v>3</v>
      </c>
      <c r="D496" s="10" t="s">
        <v>2943</v>
      </c>
      <c r="E496" s="8"/>
      <c r="F496" s="8" t="s">
        <v>2944</v>
      </c>
      <c r="G496" s="8" t="s">
        <v>2945</v>
      </c>
      <c r="H496" s="8" t="s">
        <v>15</v>
      </c>
      <c r="I496" s="8" t="s">
        <v>2946</v>
      </c>
      <c r="J496" s="8" t="s">
        <v>2947</v>
      </c>
    </row>
    <row r="497" customFormat="false" ht="23.85" hidden="false" customHeight="false" outlineLevel="0" collapsed="false">
      <c r="A497" s="8" t="s">
        <v>2948</v>
      </c>
      <c r="B497" s="8" t="s">
        <v>2901</v>
      </c>
      <c r="C497" s="9" t="n">
        <v>3</v>
      </c>
      <c r="D497" s="10" t="s">
        <v>2949</v>
      </c>
      <c r="E497" s="8"/>
      <c r="F497" s="8" t="s">
        <v>2950</v>
      </c>
      <c r="G497" s="8" t="s">
        <v>2951</v>
      </c>
      <c r="H497" s="8" t="s">
        <v>15</v>
      </c>
      <c r="I497" s="8"/>
      <c r="J497" s="8" t="s">
        <v>2952</v>
      </c>
    </row>
    <row r="498" customFormat="false" ht="23.85" hidden="false" customHeight="false" outlineLevel="0" collapsed="false">
      <c r="A498" s="8" t="s">
        <v>2953</v>
      </c>
      <c r="B498" s="8" t="s">
        <v>2901</v>
      </c>
      <c r="C498" s="9" t="n">
        <v>3</v>
      </c>
      <c r="D498" s="10" t="s">
        <v>2954</v>
      </c>
      <c r="E498" s="8"/>
      <c r="F498" s="8" t="s">
        <v>2955</v>
      </c>
      <c r="G498" s="8" t="s">
        <v>2956</v>
      </c>
      <c r="H498" s="8" t="s">
        <v>15</v>
      </c>
      <c r="I498" s="8" t="s">
        <v>2957</v>
      </c>
      <c r="J498" s="8" t="s">
        <v>2958</v>
      </c>
    </row>
    <row r="499" customFormat="false" ht="23.85" hidden="false" customHeight="false" outlineLevel="0" collapsed="false">
      <c r="A499" s="8" t="s">
        <v>2959</v>
      </c>
      <c r="B499" s="8" t="s">
        <v>2901</v>
      </c>
      <c r="C499" s="9" t="n">
        <v>3</v>
      </c>
      <c r="D499" s="10" t="s">
        <v>2960</v>
      </c>
      <c r="E499" s="8"/>
      <c r="F499" s="8" t="s">
        <v>2961</v>
      </c>
      <c r="G499" s="8" t="s">
        <v>2962</v>
      </c>
      <c r="H499" s="8" t="s">
        <v>15</v>
      </c>
      <c r="I499" s="8" t="s">
        <v>2963</v>
      </c>
      <c r="J499" s="8" t="s">
        <v>2964</v>
      </c>
    </row>
    <row r="500" customFormat="false" ht="15" hidden="false" customHeight="false" outlineLevel="0" collapsed="false">
      <c r="A500" s="8" t="s">
        <v>2965</v>
      </c>
      <c r="B500" s="8" t="s">
        <v>2901</v>
      </c>
      <c r="C500" s="9" t="n">
        <v>3</v>
      </c>
      <c r="D500" s="10" t="s">
        <v>2966</v>
      </c>
      <c r="E500" s="8"/>
      <c r="F500" s="8" t="s">
        <v>2967</v>
      </c>
      <c r="G500" s="8" t="s">
        <v>2968</v>
      </c>
      <c r="H500" s="8" t="s">
        <v>15</v>
      </c>
      <c r="I500" s="8" t="s">
        <v>2969</v>
      </c>
      <c r="J500" s="8" t="s">
        <v>2970</v>
      </c>
    </row>
    <row r="501" customFormat="false" ht="23.85" hidden="false" customHeight="false" outlineLevel="0" collapsed="false">
      <c r="A501" s="5" t="s">
        <v>2971</v>
      </c>
      <c r="B501" s="5" t="s">
        <v>2782</v>
      </c>
      <c r="C501" s="6" t="n">
        <v>2</v>
      </c>
      <c r="D501" s="7" t="s">
        <v>2972</v>
      </c>
      <c r="E501" s="5" t="s">
        <v>2973</v>
      </c>
      <c r="F501" s="5" t="s">
        <v>2974</v>
      </c>
      <c r="G501" s="5" t="s">
        <v>2975</v>
      </c>
      <c r="H501" s="5" t="s">
        <v>280</v>
      </c>
      <c r="I501" s="5"/>
      <c r="J501" s="5" t="s">
        <v>2976</v>
      </c>
    </row>
    <row r="502" customFormat="false" ht="23.85" hidden="false" customHeight="false" outlineLevel="0" collapsed="false">
      <c r="A502" s="8" t="s">
        <v>2977</v>
      </c>
      <c r="B502" s="8" t="s">
        <v>2971</v>
      </c>
      <c r="C502" s="9" t="n">
        <v>3</v>
      </c>
      <c r="D502" s="10" t="s">
        <v>2978</v>
      </c>
      <c r="E502" s="8" t="s">
        <v>2979</v>
      </c>
      <c r="F502" s="8" t="s">
        <v>2980</v>
      </c>
      <c r="G502" s="8" t="s">
        <v>2981</v>
      </c>
      <c r="H502" s="8" t="s">
        <v>280</v>
      </c>
      <c r="I502" s="8" t="s">
        <v>2982</v>
      </c>
      <c r="J502" s="8" t="s">
        <v>2983</v>
      </c>
    </row>
    <row r="503" customFormat="false" ht="15" hidden="false" customHeight="false" outlineLevel="0" collapsed="false">
      <c r="A503" s="8" t="s">
        <v>2984</v>
      </c>
      <c r="B503" s="8" t="s">
        <v>2971</v>
      </c>
      <c r="C503" s="9" t="n">
        <v>3</v>
      </c>
      <c r="D503" s="10" t="s">
        <v>2985</v>
      </c>
      <c r="E503" s="8" t="s">
        <v>2986</v>
      </c>
      <c r="F503" s="8" t="s">
        <v>2987</v>
      </c>
      <c r="G503" s="8" t="s">
        <v>2988</v>
      </c>
      <c r="H503" s="8" t="s">
        <v>15</v>
      </c>
      <c r="I503" s="8" t="s">
        <v>2989</v>
      </c>
      <c r="J503" s="8" t="s">
        <v>2990</v>
      </c>
    </row>
    <row r="504" customFormat="false" ht="23.85" hidden="false" customHeight="false" outlineLevel="0" collapsed="false">
      <c r="A504" s="8" t="s">
        <v>2991</v>
      </c>
      <c r="B504" s="8" t="s">
        <v>2971</v>
      </c>
      <c r="C504" s="9" t="n">
        <v>3</v>
      </c>
      <c r="D504" s="10" t="s">
        <v>2992</v>
      </c>
      <c r="E504" s="8"/>
      <c r="F504" s="8" t="s">
        <v>2993</v>
      </c>
      <c r="G504" s="8" t="s">
        <v>2994</v>
      </c>
      <c r="H504" s="8" t="s">
        <v>15</v>
      </c>
      <c r="I504" s="8" t="s">
        <v>2995</v>
      </c>
      <c r="J504" s="8" t="s">
        <v>2996</v>
      </c>
    </row>
    <row r="505" customFormat="false" ht="15" hidden="false" customHeight="false" outlineLevel="0" collapsed="false">
      <c r="A505" s="8" t="s">
        <v>2997</v>
      </c>
      <c r="B505" s="8" t="s">
        <v>2971</v>
      </c>
      <c r="C505" s="9" t="n">
        <v>3</v>
      </c>
      <c r="D505" s="10" t="s">
        <v>2998</v>
      </c>
      <c r="E505" s="8" t="s">
        <v>2999</v>
      </c>
      <c r="F505" s="8" t="s">
        <v>3000</v>
      </c>
      <c r="G505" s="8" t="s">
        <v>3001</v>
      </c>
      <c r="H505" s="8" t="s">
        <v>280</v>
      </c>
      <c r="I505" s="8" t="s">
        <v>3002</v>
      </c>
      <c r="J505" s="8" t="s">
        <v>3003</v>
      </c>
    </row>
    <row r="506" customFormat="false" ht="35.05" hidden="false" customHeight="false" outlineLevel="0" collapsed="false">
      <c r="A506" s="2" t="s">
        <v>3004</v>
      </c>
      <c r="B506" s="2"/>
      <c r="C506" s="3" t="n">
        <v>1</v>
      </c>
      <c r="D506" s="4" t="s">
        <v>3005</v>
      </c>
      <c r="E506" s="2" t="s">
        <v>3006</v>
      </c>
      <c r="F506" s="2" t="s">
        <v>3007</v>
      </c>
      <c r="G506" s="2" t="s">
        <v>3008</v>
      </c>
      <c r="H506" s="2" t="s">
        <v>258</v>
      </c>
      <c r="I506" s="2" t="s">
        <v>3009</v>
      </c>
      <c r="J506" s="2" t="s">
        <v>3005</v>
      </c>
    </row>
    <row r="507" customFormat="false" ht="23.85" hidden="false" customHeight="false" outlineLevel="0" collapsed="false">
      <c r="A507" s="5" t="s">
        <v>3010</v>
      </c>
      <c r="B507" s="5" t="s">
        <v>3004</v>
      </c>
      <c r="C507" s="6" t="n">
        <v>2</v>
      </c>
      <c r="D507" s="7" t="s">
        <v>3011</v>
      </c>
      <c r="E507" s="5"/>
      <c r="F507" s="5" t="s">
        <v>3012</v>
      </c>
      <c r="G507" s="5" t="s">
        <v>3013</v>
      </c>
      <c r="H507" s="5" t="s">
        <v>258</v>
      </c>
      <c r="I507" s="5"/>
      <c r="J507" s="5" t="s">
        <v>3014</v>
      </c>
    </row>
    <row r="508" customFormat="false" ht="23.85" hidden="false" customHeight="false" outlineLevel="0" collapsed="false">
      <c r="A508" s="8" t="s">
        <v>3015</v>
      </c>
      <c r="B508" s="8" t="s">
        <v>3010</v>
      </c>
      <c r="C508" s="9" t="n">
        <v>3</v>
      </c>
      <c r="D508" s="10" t="s">
        <v>3016</v>
      </c>
      <c r="E508" s="8" t="s">
        <v>3017</v>
      </c>
      <c r="F508" s="8" t="s">
        <v>3018</v>
      </c>
      <c r="G508" s="8" t="s">
        <v>3019</v>
      </c>
      <c r="H508" s="8" t="s">
        <v>258</v>
      </c>
      <c r="I508" s="8" t="s">
        <v>3020</v>
      </c>
      <c r="J508" s="8" t="s">
        <v>3021</v>
      </c>
    </row>
    <row r="509" customFormat="false" ht="23.85" hidden="false" customHeight="false" outlineLevel="0" collapsed="false">
      <c r="A509" s="8" t="s">
        <v>3022</v>
      </c>
      <c r="B509" s="8" t="s">
        <v>3010</v>
      </c>
      <c r="C509" s="9" t="n">
        <v>3</v>
      </c>
      <c r="D509" s="10" t="s">
        <v>3023</v>
      </c>
      <c r="E509" s="8" t="s">
        <v>3024</v>
      </c>
      <c r="F509" s="8" t="s">
        <v>3025</v>
      </c>
      <c r="G509" s="8" t="s">
        <v>3026</v>
      </c>
      <c r="H509" s="8" t="s">
        <v>258</v>
      </c>
      <c r="I509" s="8"/>
      <c r="J509" s="8" t="s">
        <v>3027</v>
      </c>
    </row>
    <row r="510" customFormat="false" ht="23.85" hidden="false" customHeight="false" outlineLevel="0" collapsed="false">
      <c r="A510" s="8" t="s">
        <v>3028</v>
      </c>
      <c r="B510" s="8" t="s">
        <v>3022</v>
      </c>
      <c r="C510" s="9" t="n">
        <v>4</v>
      </c>
      <c r="D510" s="11" t="s">
        <v>3029</v>
      </c>
      <c r="E510" s="8" t="s">
        <v>3030</v>
      </c>
      <c r="F510" s="8" t="s">
        <v>3031</v>
      </c>
      <c r="G510" s="8" t="s">
        <v>3032</v>
      </c>
      <c r="H510" s="8" t="s">
        <v>258</v>
      </c>
      <c r="I510" s="8"/>
      <c r="J510" s="8" t="s">
        <v>3033</v>
      </c>
    </row>
    <row r="511" customFormat="false" ht="15" hidden="false" customHeight="false" outlineLevel="0" collapsed="false">
      <c r="A511" s="5" t="s">
        <v>3034</v>
      </c>
      <c r="B511" s="5" t="s">
        <v>3004</v>
      </c>
      <c r="C511" s="6" t="n">
        <v>2</v>
      </c>
      <c r="D511" s="7" t="s">
        <v>3035</v>
      </c>
      <c r="E511" s="5" t="s">
        <v>3036</v>
      </c>
      <c r="F511" s="5" t="s">
        <v>3037</v>
      </c>
      <c r="G511" s="5" t="s">
        <v>3038</v>
      </c>
      <c r="H511" s="5" t="s">
        <v>258</v>
      </c>
      <c r="I511" s="5"/>
      <c r="J511" s="5" t="s">
        <v>3039</v>
      </c>
    </row>
    <row r="512" customFormat="false" ht="15" hidden="false" customHeight="false" outlineLevel="0" collapsed="false">
      <c r="A512" s="8" t="s">
        <v>3040</v>
      </c>
      <c r="B512" s="8" t="s">
        <v>3034</v>
      </c>
      <c r="C512" s="9" t="n">
        <v>3</v>
      </c>
      <c r="D512" s="10" t="s">
        <v>3041</v>
      </c>
      <c r="E512" s="8"/>
      <c r="F512" s="8" t="s">
        <v>3042</v>
      </c>
      <c r="G512" s="8" t="s">
        <v>3043</v>
      </c>
      <c r="H512" s="8" t="s">
        <v>258</v>
      </c>
      <c r="I512" s="8" t="s">
        <v>3044</v>
      </c>
      <c r="J512" s="8" t="s">
        <v>3045</v>
      </c>
    </row>
    <row r="513" customFormat="false" ht="23.85" hidden="false" customHeight="false" outlineLevel="0" collapsed="false">
      <c r="A513" s="8" t="s">
        <v>3046</v>
      </c>
      <c r="B513" s="8" t="s">
        <v>3034</v>
      </c>
      <c r="C513" s="9" t="n">
        <v>3</v>
      </c>
      <c r="D513" s="10" t="s">
        <v>3047</v>
      </c>
      <c r="E513" s="8" t="s">
        <v>3048</v>
      </c>
      <c r="F513" s="8" t="s">
        <v>3049</v>
      </c>
      <c r="G513" s="8" t="s">
        <v>3050</v>
      </c>
      <c r="H513" s="8" t="s">
        <v>258</v>
      </c>
      <c r="I513" s="8"/>
      <c r="J513" s="8" t="s">
        <v>3051</v>
      </c>
    </row>
    <row r="514" customFormat="false" ht="15" hidden="false" customHeight="false" outlineLevel="0" collapsed="false">
      <c r="A514" s="5" t="s">
        <v>3052</v>
      </c>
      <c r="B514" s="5" t="s">
        <v>3004</v>
      </c>
      <c r="C514" s="6" t="n">
        <v>2</v>
      </c>
      <c r="D514" s="7" t="s">
        <v>3053</v>
      </c>
      <c r="E514" s="5" t="s">
        <v>3054</v>
      </c>
      <c r="F514" s="5" t="s">
        <v>3055</v>
      </c>
      <c r="G514" s="5" t="s">
        <v>3056</v>
      </c>
      <c r="H514" s="5" t="s">
        <v>258</v>
      </c>
      <c r="I514" s="5"/>
      <c r="J514" s="5" t="s">
        <v>3057</v>
      </c>
    </row>
    <row r="515" customFormat="false" ht="15" hidden="false" customHeight="false" outlineLevel="0" collapsed="false">
      <c r="A515" s="8" t="s">
        <v>3058</v>
      </c>
      <c r="B515" s="8" t="s">
        <v>3052</v>
      </c>
      <c r="C515" s="9" t="n">
        <v>3</v>
      </c>
      <c r="D515" s="10" t="s">
        <v>3059</v>
      </c>
      <c r="E515" s="8"/>
      <c r="F515" s="8" t="s">
        <v>3060</v>
      </c>
      <c r="G515" s="8" t="s">
        <v>3061</v>
      </c>
      <c r="H515" s="8" t="s">
        <v>258</v>
      </c>
      <c r="I515" s="8"/>
      <c r="J515" s="8" t="s">
        <v>3062</v>
      </c>
    </row>
    <row r="516" customFormat="false" ht="23.85" hidden="false" customHeight="false" outlineLevel="0" collapsed="false">
      <c r="A516" s="8" t="s">
        <v>3063</v>
      </c>
      <c r="B516" s="8" t="s">
        <v>3052</v>
      </c>
      <c r="C516" s="9" t="n">
        <v>3</v>
      </c>
      <c r="D516" s="10" t="s">
        <v>3064</v>
      </c>
      <c r="E516" s="8" t="s">
        <v>3065</v>
      </c>
      <c r="F516" s="8" t="s">
        <v>3066</v>
      </c>
      <c r="G516" s="8" t="s">
        <v>3067</v>
      </c>
      <c r="H516" s="8" t="s">
        <v>258</v>
      </c>
      <c r="I516" s="8" t="s">
        <v>3068</v>
      </c>
      <c r="J516" s="8" t="s">
        <v>3069</v>
      </c>
    </row>
    <row r="517" customFormat="false" ht="15" hidden="false" customHeight="false" outlineLevel="0" collapsed="false">
      <c r="A517" s="8" t="s">
        <v>3070</v>
      </c>
      <c r="B517" s="8" t="s">
        <v>3052</v>
      </c>
      <c r="C517" s="9" t="n">
        <v>3</v>
      </c>
      <c r="D517" s="10" t="s">
        <v>3071</v>
      </c>
      <c r="E517" s="8" t="s">
        <v>3072</v>
      </c>
      <c r="F517" s="8" t="s">
        <v>3073</v>
      </c>
      <c r="G517" s="8" t="s">
        <v>3074</v>
      </c>
      <c r="H517" s="8" t="s">
        <v>258</v>
      </c>
      <c r="I517" s="8"/>
      <c r="J517" s="8" t="s">
        <v>3075</v>
      </c>
    </row>
    <row r="518" customFormat="false" ht="15" hidden="false" customHeight="false" outlineLevel="0" collapsed="false">
      <c r="A518" s="8" t="s">
        <v>3076</v>
      </c>
      <c r="B518" s="8" t="s">
        <v>3052</v>
      </c>
      <c r="C518" s="9" t="n">
        <v>3</v>
      </c>
      <c r="D518" s="10" t="s">
        <v>3077</v>
      </c>
      <c r="E518" s="8"/>
      <c r="F518" s="8" t="s">
        <v>3078</v>
      </c>
      <c r="G518" s="8" t="s">
        <v>3079</v>
      </c>
      <c r="H518" s="8" t="s">
        <v>258</v>
      </c>
      <c r="I518" s="8"/>
      <c r="J518" s="8" t="s">
        <v>3080</v>
      </c>
    </row>
    <row r="519" customFormat="false" ht="15" hidden="false" customHeight="false" outlineLevel="0" collapsed="false">
      <c r="A519" s="5" t="s">
        <v>3081</v>
      </c>
      <c r="B519" s="5" t="s">
        <v>3004</v>
      </c>
      <c r="C519" s="6" t="n">
        <v>2</v>
      </c>
      <c r="D519" s="7" t="s">
        <v>3082</v>
      </c>
      <c r="E519" s="5"/>
      <c r="F519" s="5" t="s">
        <v>3083</v>
      </c>
      <c r="G519" s="5" t="s">
        <v>3084</v>
      </c>
      <c r="H519" s="5" t="s">
        <v>258</v>
      </c>
      <c r="I519" s="5"/>
      <c r="J519" s="5" t="s">
        <v>3085</v>
      </c>
    </row>
    <row r="520" customFormat="false" ht="15" hidden="false" customHeight="false" outlineLevel="0" collapsed="false">
      <c r="A520" s="8" t="s">
        <v>3086</v>
      </c>
      <c r="B520" s="8" t="s">
        <v>3081</v>
      </c>
      <c r="C520" s="9" t="n">
        <v>3</v>
      </c>
      <c r="D520" s="10" t="s">
        <v>3087</v>
      </c>
      <c r="E520" s="8" t="s">
        <v>3088</v>
      </c>
      <c r="F520" s="8" t="s">
        <v>3089</v>
      </c>
      <c r="G520" s="8" t="s">
        <v>3090</v>
      </c>
      <c r="H520" s="8" t="s">
        <v>258</v>
      </c>
      <c r="I520" s="8" t="s">
        <v>3091</v>
      </c>
      <c r="J520" s="8" t="s">
        <v>3092</v>
      </c>
    </row>
    <row r="521" customFormat="false" ht="23.85" hidden="false" customHeight="false" outlineLevel="0" collapsed="false">
      <c r="A521" s="8" t="s">
        <v>3093</v>
      </c>
      <c r="B521" s="8" t="s">
        <v>3081</v>
      </c>
      <c r="C521" s="9" t="n">
        <v>3</v>
      </c>
      <c r="D521" s="10" t="s">
        <v>3094</v>
      </c>
      <c r="E521" s="8"/>
      <c r="F521" s="8" t="s">
        <v>3095</v>
      </c>
      <c r="G521" s="8" t="s">
        <v>3096</v>
      </c>
      <c r="H521" s="8" t="s">
        <v>258</v>
      </c>
      <c r="I521" s="8"/>
      <c r="J521" s="8" t="s">
        <v>3097</v>
      </c>
    </row>
    <row r="522" customFormat="false" ht="15" hidden="false" customHeight="false" outlineLevel="0" collapsed="false">
      <c r="A522" s="8" t="s">
        <v>3098</v>
      </c>
      <c r="B522" s="8" t="s">
        <v>3081</v>
      </c>
      <c r="C522" s="9" t="n">
        <v>3</v>
      </c>
      <c r="D522" s="10" t="s">
        <v>3099</v>
      </c>
      <c r="E522" s="8"/>
      <c r="F522" s="8" t="s">
        <v>3100</v>
      </c>
      <c r="G522" s="8" t="s">
        <v>3101</v>
      </c>
      <c r="H522" s="8" t="s">
        <v>258</v>
      </c>
      <c r="I522" s="8"/>
      <c r="J522" s="8" t="s">
        <v>3102</v>
      </c>
    </row>
    <row r="523" customFormat="false" ht="23.85" hidden="false" customHeight="false" outlineLevel="0" collapsed="false">
      <c r="A523" s="8" t="s">
        <v>3103</v>
      </c>
      <c r="B523" s="8" t="s">
        <v>3081</v>
      </c>
      <c r="C523" s="9" t="n">
        <v>3</v>
      </c>
      <c r="D523" s="10" t="s">
        <v>3104</v>
      </c>
      <c r="E523" s="8" t="s">
        <v>3105</v>
      </c>
      <c r="F523" s="8" t="s">
        <v>3106</v>
      </c>
      <c r="G523" s="8" t="s">
        <v>3107</v>
      </c>
      <c r="H523" s="8" t="s">
        <v>258</v>
      </c>
      <c r="I523" s="8" t="s">
        <v>3108</v>
      </c>
      <c r="J523" s="8" t="s">
        <v>3109</v>
      </c>
    </row>
    <row r="524" customFormat="false" ht="15" hidden="false" customHeight="false" outlineLevel="0" collapsed="false">
      <c r="A524" s="5" t="s">
        <v>3110</v>
      </c>
      <c r="B524" s="5" t="s">
        <v>3004</v>
      </c>
      <c r="C524" s="6" t="n">
        <v>2</v>
      </c>
      <c r="D524" s="7" t="s">
        <v>3111</v>
      </c>
      <c r="E524" s="5" t="s">
        <v>3112</v>
      </c>
      <c r="F524" s="5" t="s">
        <v>3113</v>
      </c>
      <c r="G524" s="5" t="s">
        <v>3114</v>
      </c>
      <c r="H524" s="5" t="s">
        <v>258</v>
      </c>
      <c r="I524" s="5"/>
      <c r="J524" s="5" t="s">
        <v>3115</v>
      </c>
    </row>
    <row r="525" customFormat="false" ht="23.85" hidden="false" customHeight="false" outlineLevel="0" collapsed="false">
      <c r="A525" s="5" t="s">
        <v>3116</v>
      </c>
      <c r="B525" s="5" t="s">
        <v>3004</v>
      </c>
      <c r="C525" s="6" t="n">
        <v>2</v>
      </c>
      <c r="D525" s="7" t="s">
        <v>3117</v>
      </c>
      <c r="E525" s="5" t="s">
        <v>3118</v>
      </c>
      <c r="F525" s="5" t="s">
        <v>3119</v>
      </c>
      <c r="G525" s="5" t="s">
        <v>3120</v>
      </c>
      <c r="H525" s="5" t="s">
        <v>258</v>
      </c>
      <c r="I525" s="5"/>
      <c r="J525" s="5" t="s">
        <v>3121</v>
      </c>
    </row>
    <row r="526" customFormat="false" ht="23.85" hidden="false" customHeight="false" outlineLevel="0" collapsed="false">
      <c r="A526" s="2" t="s">
        <v>3122</v>
      </c>
      <c r="B526" s="2"/>
      <c r="C526" s="3" t="n">
        <v>1</v>
      </c>
      <c r="D526" s="4" t="s">
        <v>3123</v>
      </c>
      <c r="E526" s="2" t="s">
        <v>3124</v>
      </c>
      <c r="F526" s="2" t="s">
        <v>3125</v>
      </c>
      <c r="G526" s="2" t="s">
        <v>3126</v>
      </c>
      <c r="H526" s="2" t="s">
        <v>258</v>
      </c>
      <c r="I526" s="2"/>
      <c r="J526" s="2" t="s">
        <v>3123</v>
      </c>
    </row>
    <row r="527" customFormat="false" ht="23.85" hidden="false" customHeight="false" outlineLevel="0" collapsed="false">
      <c r="A527" s="5" t="s">
        <v>3127</v>
      </c>
      <c r="B527" s="5" t="s">
        <v>3122</v>
      </c>
      <c r="C527" s="6" t="n">
        <v>2</v>
      </c>
      <c r="D527" s="7" t="s">
        <v>3128</v>
      </c>
      <c r="E527" s="5" t="s">
        <v>3129</v>
      </c>
      <c r="F527" s="5" t="s">
        <v>3130</v>
      </c>
      <c r="G527" s="5" t="s">
        <v>3131</v>
      </c>
      <c r="H527" s="5" t="s">
        <v>258</v>
      </c>
      <c r="I527" s="5" t="s">
        <v>3132</v>
      </c>
      <c r="J527" s="5" t="s">
        <v>3133</v>
      </c>
    </row>
    <row r="528" customFormat="false" ht="15" hidden="false" customHeight="false" outlineLevel="0" collapsed="false">
      <c r="A528" s="8" t="s">
        <v>3134</v>
      </c>
      <c r="B528" s="8" t="s">
        <v>3127</v>
      </c>
      <c r="C528" s="9" t="n">
        <v>3</v>
      </c>
      <c r="D528" s="10" t="s">
        <v>3135</v>
      </c>
      <c r="E528" s="8" t="s">
        <v>3136</v>
      </c>
      <c r="F528" s="8" t="s">
        <v>3137</v>
      </c>
      <c r="G528" s="8" t="s">
        <v>3138</v>
      </c>
      <c r="H528" s="8" t="s">
        <v>258</v>
      </c>
      <c r="I528" s="8"/>
      <c r="J528" s="8" t="s">
        <v>3139</v>
      </c>
    </row>
    <row r="529" customFormat="false" ht="15" hidden="false" customHeight="false" outlineLevel="0" collapsed="false">
      <c r="A529" s="8" t="s">
        <v>3140</v>
      </c>
      <c r="B529" s="8" t="s">
        <v>3127</v>
      </c>
      <c r="C529" s="9" t="n">
        <v>3</v>
      </c>
      <c r="D529" s="10" t="s">
        <v>3141</v>
      </c>
      <c r="E529" s="8" t="s">
        <v>3142</v>
      </c>
      <c r="F529" s="8" t="s">
        <v>3143</v>
      </c>
      <c r="G529" s="8" t="s">
        <v>3144</v>
      </c>
      <c r="H529" s="8" t="s">
        <v>258</v>
      </c>
      <c r="I529" s="8"/>
      <c r="J529" s="8" t="s">
        <v>3145</v>
      </c>
    </row>
    <row r="530" customFormat="false" ht="23.85" hidden="false" customHeight="false" outlineLevel="0" collapsed="false">
      <c r="A530" s="8" t="s">
        <v>3146</v>
      </c>
      <c r="B530" s="8" t="s">
        <v>3127</v>
      </c>
      <c r="C530" s="9" t="n">
        <v>3</v>
      </c>
      <c r="D530" s="10" t="s">
        <v>3147</v>
      </c>
      <c r="E530" s="8" t="s">
        <v>3148</v>
      </c>
      <c r="F530" s="8" t="s">
        <v>3149</v>
      </c>
      <c r="G530" s="8" t="s">
        <v>3150</v>
      </c>
      <c r="H530" s="8" t="s">
        <v>258</v>
      </c>
      <c r="I530" s="8"/>
      <c r="J530" s="8" t="s">
        <v>3151</v>
      </c>
    </row>
    <row r="531" customFormat="false" ht="23.85" hidden="false" customHeight="false" outlineLevel="0" collapsed="false">
      <c r="A531" s="8" t="s">
        <v>3152</v>
      </c>
      <c r="B531" s="8" t="s">
        <v>3127</v>
      </c>
      <c r="C531" s="9" t="n">
        <v>3</v>
      </c>
      <c r="D531" s="10" t="s">
        <v>3153</v>
      </c>
      <c r="E531" s="8" t="s">
        <v>3154</v>
      </c>
      <c r="F531" s="8" t="s">
        <v>3155</v>
      </c>
      <c r="G531" s="8" t="s">
        <v>3156</v>
      </c>
      <c r="H531" s="8" t="s">
        <v>258</v>
      </c>
      <c r="I531" s="8" t="s">
        <v>3157</v>
      </c>
      <c r="J531" s="8" t="s">
        <v>3158</v>
      </c>
    </row>
    <row r="532" customFormat="false" ht="23.85" hidden="false" customHeight="false" outlineLevel="0" collapsed="false">
      <c r="A532" s="8" t="s">
        <v>3159</v>
      </c>
      <c r="B532" s="8" t="s">
        <v>3127</v>
      </c>
      <c r="C532" s="9" t="n">
        <v>3</v>
      </c>
      <c r="D532" s="10" t="s">
        <v>3160</v>
      </c>
      <c r="E532" s="8"/>
      <c r="F532" s="8" t="s">
        <v>3161</v>
      </c>
      <c r="G532" s="8" t="s">
        <v>3162</v>
      </c>
      <c r="H532" s="8" t="s">
        <v>258</v>
      </c>
      <c r="I532" s="8" t="s">
        <v>3163</v>
      </c>
      <c r="J532" s="8" t="s">
        <v>3164</v>
      </c>
    </row>
    <row r="533" customFormat="false" ht="23.85" hidden="false" customHeight="false" outlineLevel="0" collapsed="false">
      <c r="A533" s="5" t="s">
        <v>3165</v>
      </c>
      <c r="B533" s="5" t="s">
        <v>3122</v>
      </c>
      <c r="C533" s="6" t="n">
        <v>2</v>
      </c>
      <c r="D533" s="7" t="s">
        <v>3166</v>
      </c>
      <c r="E533" s="5" t="s">
        <v>3167</v>
      </c>
      <c r="F533" s="5" t="s">
        <v>3168</v>
      </c>
      <c r="G533" s="5" t="s">
        <v>3169</v>
      </c>
      <c r="H533" s="5" t="s">
        <v>258</v>
      </c>
      <c r="I533" s="5" t="s">
        <v>3170</v>
      </c>
      <c r="J533" s="5" t="s">
        <v>3171</v>
      </c>
    </row>
    <row r="534" customFormat="false" ht="23.85" hidden="false" customHeight="false" outlineLevel="0" collapsed="false">
      <c r="A534" s="8" t="s">
        <v>3172</v>
      </c>
      <c r="B534" s="8" t="s">
        <v>3165</v>
      </c>
      <c r="C534" s="9" t="n">
        <v>3</v>
      </c>
      <c r="D534" s="10" t="s">
        <v>3173</v>
      </c>
      <c r="E534" s="8"/>
      <c r="F534" s="8" t="s">
        <v>3174</v>
      </c>
      <c r="G534" s="8" t="s">
        <v>3175</v>
      </c>
      <c r="H534" s="8" t="s">
        <v>258</v>
      </c>
      <c r="I534" s="8"/>
      <c r="J534" s="8" t="s">
        <v>3176</v>
      </c>
    </row>
    <row r="535" customFormat="false" ht="15" hidden="false" customHeight="false" outlineLevel="0" collapsed="false">
      <c r="A535" s="8" t="s">
        <v>3177</v>
      </c>
      <c r="B535" s="8" t="s">
        <v>3165</v>
      </c>
      <c r="C535" s="9" t="n">
        <v>3</v>
      </c>
      <c r="D535" s="10" t="s">
        <v>3178</v>
      </c>
      <c r="E535" s="8"/>
      <c r="F535" s="8" t="s">
        <v>3179</v>
      </c>
      <c r="G535" s="8" t="s">
        <v>3180</v>
      </c>
      <c r="H535" s="8" t="s">
        <v>258</v>
      </c>
      <c r="I535" s="8"/>
      <c r="J535" s="8" t="s">
        <v>3181</v>
      </c>
    </row>
    <row r="536" customFormat="false" ht="15" hidden="false" customHeight="false" outlineLevel="0" collapsed="false">
      <c r="A536" s="8" t="s">
        <v>3182</v>
      </c>
      <c r="B536" s="8" t="s">
        <v>3165</v>
      </c>
      <c r="C536" s="9" t="n">
        <v>3</v>
      </c>
      <c r="D536" s="10" t="s">
        <v>3183</v>
      </c>
      <c r="E536" s="8"/>
      <c r="F536" s="8" t="s">
        <v>3184</v>
      </c>
      <c r="G536" s="8" t="s">
        <v>3185</v>
      </c>
      <c r="H536" s="8" t="s">
        <v>258</v>
      </c>
      <c r="I536" s="8" t="s">
        <v>3186</v>
      </c>
      <c r="J536" s="8" t="s">
        <v>3187</v>
      </c>
    </row>
    <row r="537" customFormat="false" ht="15" hidden="false" customHeight="false" outlineLevel="0" collapsed="false">
      <c r="A537" s="5" t="s">
        <v>3188</v>
      </c>
      <c r="B537" s="5" t="s">
        <v>3122</v>
      </c>
      <c r="C537" s="6" t="n">
        <v>2</v>
      </c>
      <c r="D537" s="7" t="s">
        <v>3189</v>
      </c>
      <c r="E537" s="5"/>
      <c r="F537" s="5" t="s">
        <v>3190</v>
      </c>
      <c r="G537" s="5" t="s">
        <v>3191</v>
      </c>
      <c r="H537" s="5" t="s">
        <v>258</v>
      </c>
      <c r="I537" s="5"/>
      <c r="J537" s="5" t="s">
        <v>3192</v>
      </c>
    </row>
    <row r="538" customFormat="false" ht="23.85" hidden="false" customHeight="false" outlineLevel="0" collapsed="false">
      <c r="A538" s="8" t="s">
        <v>3193</v>
      </c>
      <c r="B538" s="8" t="s">
        <v>3188</v>
      </c>
      <c r="C538" s="9" t="n">
        <v>3</v>
      </c>
      <c r="D538" s="10" t="s">
        <v>3194</v>
      </c>
      <c r="E538" s="8" t="s">
        <v>3195</v>
      </c>
      <c r="F538" s="8" t="s">
        <v>3196</v>
      </c>
      <c r="G538" s="8" t="s">
        <v>3197</v>
      </c>
      <c r="H538" s="8" t="s">
        <v>258</v>
      </c>
      <c r="I538" s="8" t="s">
        <v>3198</v>
      </c>
      <c r="J538" s="8" t="s">
        <v>3199</v>
      </c>
    </row>
    <row r="539" customFormat="false" ht="15" hidden="false" customHeight="false" outlineLevel="0" collapsed="false">
      <c r="A539" s="8" t="s">
        <v>3200</v>
      </c>
      <c r="B539" s="8" t="s">
        <v>3193</v>
      </c>
      <c r="C539" s="9" t="n">
        <v>4</v>
      </c>
      <c r="D539" s="11" t="s">
        <v>3201</v>
      </c>
      <c r="E539" s="8"/>
      <c r="F539" s="8" t="s">
        <v>3202</v>
      </c>
      <c r="G539" s="8" t="s">
        <v>3203</v>
      </c>
      <c r="H539" s="8" t="s">
        <v>258</v>
      </c>
      <c r="I539" s="8"/>
      <c r="J539" s="8" t="s">
        <v>3204</v>
      </c>
    </row>
    <row r="540" customFormat="false" ht="23.85" hidden="false" customHeight="false" outlineLevel="0" collapsed="false">
      <c r="A540" s="8" t="s">
        <v>3205</v>
      </c>
      <c r="B540" s="8" t="s">
        <v>3193</v>
      </c>
      <c r="C540" s="9" t="n">
        <v>4</v>
      </c>
      <c r="D540" s="11" t="s">
        <v>3206</v>
      </c>
      <c r="E540" s="8"/>
      <c r="F540" s="8" t="s">
        <v>3207</v>
      </c>
      <c r="G540" s="8" t="s">
        <v>3208</v>
      </c>
      <c r="H540" s="8" t="s">
        <v>258</v>
      </c>
      <c r="I540" s="8"/>
      <c r="J540" s="8" t="s">
        <v>3209</v>
      </c>
    </row>
    <row r="541" customFormat="false" ht="23.85" hidden="false" customHeight="false" outlineLevel="0" collapsed="false">
      <c r="A541" s="8" t="s">
        <v>3210</v>
      </c>
      <c r="B541" s="8" t="s">
        <v>3193</v>
      </c>
      <c r="C541" s="9" t="n">
        <v>4</v>
      </c>
      <c r="D541" s="11" t="s">
        <v>3211</v>
      </c>
      <c r="E541" s="8"/>
      <c r="F541" s="8" t="s">
        <v>3212</v>
      </c>
      <c r="G541" s="8" t="s">
        <v>3213</v>
      </c>
      <c r="H541" s="8" t="s">
        <v>258</v>
      </c>
      <c r="I541" s="8"/>
      <c r="J541" s="8" t="s">
        <v>3214</v>
      </c>
    </row>
    <row r="542" customFormat="false" ht="23.85" hidden="false" customHeight="false" outlineLevel="0" collapsed="false">
      <c r="A542" s="8" t="s">
        <v>3215</v>
      </c>
      <c r="B542" s="8" t="s">
        <v>3188</v>
      </c>
      <c r="C542" s="9" t="n">
        <v>3</v>
      </c>
      <c r="D542" s="10" t="s">
        <v>3216</v>
      </c>
      <c r="E542" s="8"/>
      <c r="F542" s="8" t="s">
        <v>3217</v>
      </c>
      <c r="G542" s="8" t="s">
        <v>3218</v>
      </c>
      <c r="H542" s="8" t="s">
        <v>258</v>
      </c>
      <c r="I542" s="8"/>
      <c r="J542" s="8" t="s">
        <v>3219</v>
      </c>
    </row>
    <row r="543" customFormat="false" ht="23.85" hidden="false" customHeight="false" outlineLevel="0" collapsed="false">
      <c r="A543" s="8" t="s">
        <v>3220</v>
      </c>
      <c r="B543" s="8" t="s">
        <v>3188</v>
      </c>
      <c r="C543" s="9" t="n">
        <v>3</v>
      </c>
      <c r="D543" s="10" t="s">
        <v>3221</v>
      </c>
      <c r="E543" s="8"/>
      <c r="F543" s="8" t="s">
        <v>3222</v>
      </c>
      <c r="G543" s="8" t="s">
        <v>3223</v>
      </c>
      <c r="H543" s="8" t="s">
        <v>258</v>
      </c>
      <c r="I543" s="8"/>
      <c r="J543" s="8" t="s">
        <v>3224</v>
      </c>
    </row>
    <row r="544" customFormat="false" ht="23.85" hidden="false" customHeight="false" outlineLevel="0" collapsed="false">
      <c r="A544" s="8" t="s">
        <v>3225</v>
      </c>
      <c r="B544" s="8" t="s">
        <v>3188</v>
      </c>
      <c r="C544" s="9" t="n">
        <v>3</v>
      </c>
      <c r="D544" s="10" t="s">
        <v>3226</v>
      </c>
      <c r="E544" s="8"/>
      <c r="F544" s="8" t="s">
        <v>3227</v>
      </c>
      <c r="G544" s="8" t="s">
        <v>3228</v>
      </c>
      <c r="H544" s="8" t="s">
        <v>258</v>
      </c>
      <c r="I544" s="8"/>
      <c r="J544" s="8" t="s">
        <v>3229</v>
      </c>
    </row>
    <row r="545" customFormat="false" ht="23.85" hidden="false" customHeight="false" outlineLevel="0" collapsed="false">
      <c r="A545" s="5" t="s">
        <v>3230</v>
      </c>
      <c r="B545" s="5" t="s">
        <v>3122</v>
      </c>
      <c r="C545" s="6" t="n">
        <v>2</v>
      </c>
      <c r="D545" s="7" t="s">
        <v>3231</v>
      </c>
      <c r="E545" s="5" t="s">
        <v>3232</v>
      </c>
      <c r="F545" s="5" t="s">
        <v>3233</v>
      </c>
      <c r="G545" s="5" t="s">
        <v>3234</v>
      </c>
      <c r="H545" s="5" t="s">
        <v>280</v>
      </c>
      <c r="I545" s="5" t="s">
        <v>3235</v>
      </c>
      <c r="J545" s="5" t="s">
        <v>3236</v>
      </c>
    </row>
    <row r="546" customFormat="false" ht="15" hidden="false" customHeight="false" outlineLevel="0" collapsed="false">
      <c r="A546" s="8" t="s">
        <v>3237</v>
      </c>
      <c r="B546" s="8" t="s">
        <v>3230</v>
      </c>
      <c r="C546" s="9" t="n">
        <v>3</v>
      </c>
      <c r="D546" s="10" t="s">
        <v>3238</v>
      </c>
      <c r="E546" s="8"/>
      <c r="F546" s="8" t="s">
        <v>3239</v>
      </c>
      <c r="G546" s="8" t="s">
        <v>3240</v>
      </c>
      <c r="H546" s="8" t="s">
        <v>258</v>
      </c>
      <c r="I546" s="8"/>
      <c r="J546" s="8" t="s">
        <v>3241</v>
      </c>
    </row>
    <row r="547" customFormat="false" ht="23.85" hidden="false" customHeight="false" outlineLevel="0" collapsed="false">
      <c r="A547" s="8" t="s">
        <v>3242</v>
      </c>
      <c r="B547" s="8" t="s">
        <v>3230</v>
      </c>
      <c r="C547" s="9" t="n">
        <v>3</v>
      </c>
      <c r="D547" s="10" t="s">
        <v>3243</v>
      </c>
      <c r="E547" s="8"/>
      <c r="F547" s="8" t="s">
        <v>3244</v>
      </c>
      <c r="G547" s="8" t="s">
        <v>3245</v>
      </c>
      <c r="H547" s="8" t="s">
        <v>280</v>
      </c>
      <c r="I547" s="8" t="s">
        <v>3246</v>
      </c>
      <c r="J547" s="8" t="s">
        <v>3247</v>
      </c>
    </row>
    <row r="548" customFormat="false" ht="15" hidden="false" customHeight="false" outlineLevel="0" collapsed="false">
      <c r="A548" s="8" t="s">
        <v>3248</v>
      </c>
      <c r="B548" s="8" t="s">
        <v>3230</v>
      </c>
      <c r="C548" s="9" t="n">
        <v>3</v>
      </c>
      <c r="D548" s="10" t="s">
        <v>3249</v>
      </c>
      <c r="E548" s="8"/>
      <c r="F548" s="8" t="s">
        <v>3250</v>
      </c>
      <c r="G548" s="8" t="s">
        <v>3251</v>
      </c>
      <c r="H548" s="8" t="s">
        <v>15</v>
      </c>
      <c r="I548" s="8"/>
      <c r="J548" s="8" t="s">
        <v>3252</v>
      </c>
    </row>
    <row r="549" customFormat="false" ht="23.85" hidden="false" customHeight="false" outlineLevel="0" collapsed="false">
      <c r="A549" s="5" t="s">
        <v>3253</v>
      </c>
      <c r="B549" s="5" t="s">
        <v>3122</v>
      </c>
      <c r="C549" s="6" t="n">
        <v>2</v>
      </c>
      <c r="D549" s="7" t="s">
        <v>3254</v>
      </c>
      <c r="E549" s="5" t="s">
        <v>3255</v>
      </c>
      <c r="F549" s="5" t="s">
        <v>3256</v>
      </c>
      <c r="G549" s="5" t="s">
        <v>3257</v>
      </c>
      <c r="H549" s="5" t="s">
        <v>280</v>
      </c>
      <c r="I549" s="5" t="s">
        <v>3258</v>
      </c>
      <c r="J549" s="5" t="s">
        <v>3259</v>
      </c>
    </row>
    <row r="550" customFormat="false" ht="23.85" hidden="false" customHeight="false" outlineLevel="0" collapsed="false">
      <c r="A550" s="8" t="s">
        <v>3260</v>
      </c>
      <c r="B550" s="8" t="s">
        <v>3253</v>
      </c>
      <c r="C550" s="9" t="n">
        <v>3</v>
      </c>
      <c r="D550" s="10" t="s">
        <v>3261</v>
      </c>
      <c r="E550" s="8"/>
      <c r="F550" s="8" t="s">
        <v>3262</v>
      </c>
      <c r="G550" s="8" t="s">
        <v>3263</v>
      </c>
      <c r="H550" s="8" t="s">
        <v>15</v>
      </c>
      <c r="I550" s="8" t="s">
        <v>3264</v>
      </c>
      <c r="J550" s="8" t="s">
        <v>3265</v>
      </c>
    </row>
    <row r="551" customFormat="false" ht="23.85" hidden="false" customHeight="false" outlineLevel="0" collapsed="false">
      <c r="A551" s="8" t="s">
        <v>3266</v>
      </c>
      <c r="B551" s="8" t="s">
        <v>3253</v>
      </c>
      <c r="C551" s="9" t="n">
        <v>3</v>
      </c>
      <c r="D551" s="10" t="s">
        <v>3267</v>
      </c>
      <c r="E551" s="8"/>
      <c r="F551" s="8" t="s">
        <v>3268</v>
      </c>
      <c r="G551" s="8" t="s">
        <v>3269</v>
      </c>
      <c r="H551" s="8" t="s">
        <v>280</v>
      </c>
      <c r="I551" s="8"/>
      <c r="J551" s="8" t="s">
        <v>3270</v>
      </c>
    </row>
    <row r="552" customFormat="false" ht="23.85" hidden="false" customHeight="false" outlineLevel="0" collapsed="false">
      <c r="A552" s="5" t="s">
        <v>3271</v>
      </c>
      <c r="B552" s="5" t="s">
        <v>3122</v>
      </c>
      <c r="C552" s="6" t="n">
        <v>2</v>
      </c>
      <c r="D552" s="7" t="s">
        <v>3272</v>
      </c>
      <c r="E552" s="5" t="s">
        <v>3273</v>
      </c>
      <c r="F552" s="5" t="s">
        <v>3274</v>
      </c>
      <c r="G552" s="5" t="s">
        <v>3275</v>
      </c>
      <c r="H552" s="5" t="s">
        <v>258</v>
      </c>
      <c r="I552" s="5" t="s">
        <v>3276</v>
      </c>
      <c r="J552" s="5" t="s">
        <v>3277</v>
      </c>
    </row>
  </sheetData>
  <autoFilter ref="A1:J5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false" summaryRight="true"/>
    <pageSetUpPr fitToPage="false"/>
  </sheetPr>
  <dimension ref="A1:F5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4" min="1" style="0" width="6"/>
    <col collapsed="false" customWidth="true" hidden="false" outlineLevel="0" max="5" min="5" style="0" width="55"/>
    <col collapsed="false" customWidth="true" hidden="false" outlineLevel="0" max="6" min="6" style="0" width="45"/>
  </cols>
  <sheetData>
    <row r="1" customFormat="false" ht="15" hidden="false" customHeight="false" outlineLevel="0" collapsed="false">
      <c r="A1" s="13" t="s">
        <v>3278</v>
      </c>
      <c r="B1" s="13" t="s">
        <v>3279</v>
      </c>
      <c r="C1" s="13" t="s">
        <v>3280</v>
      </c>
      <c r="D1" s="13" t="s">
        <v>3281</v>
      </c>
      <c r="E1" s="13" t="s">
        <v>3282</v>
      </c>
      <c r="F1" s="13" t="s">
        <v>0</v>
      </c>
    </row>
    <row r="2" customFormat="false" ht="15" hidden="false" customHeight="false" outlineLevel="0" collapsed="false">
      <c r="A2" s="14" t="s">
        <v>11</v>
      </c>
      <c r="B2" s="14"/>
      <c r="C2" s="14"/>
      <c r="D2" s="14"/>
      <c r="E2" s="14"/>
      <c r="F2" s="15" t="s">
        <v>10</v>
      </c>
    </row>
    <row r="3" customFormat="false" ht="15" hidden="false" customHeight="false" outlineLevel="1" collapsed="false">
      <c r="A3" s="16"/>
      <c r="B3" s="16" t="s">
        <v>18</v>
      </c>
      <c r="C3" s="16"/>
      <c r="D3" s="16"/>
      <c r="E3" s="16"/>
      <c r="F3" s="17" t="s">
        <v>17</v>
      </c>
    </row>
    <row r="4" customFormat="false" ht="15" hidden="false" customHeight="false" outlineLevel="2" collapsed="false">
      <c r="A4" s="16"/>
      <c r="B4" s="16"/>
      <c r="C4" s="16" t="s">
        <v>25</v>
      </c>
      <c r="D4" s="16"/>
      <c r="E4" s="16"/>
      <c r="F4" s="17" t="s">
        <v>24</v>
      </c>
    </row>
    <row r="5" customFormat="false" ht="15" hidden="false" customHeight="false" outlineLevel="2" collapsed="false">
      <c r="A5" s="16"/>
      <c r="B5" s="16"/>
      <c r="C5" s="16" t="s">
        <v>31</v>
      </c>
      <c r="D5" s="16"/>
      <c r="E5" s="16"/>
      <c r="F5" s="17" t="s">
        <v>30</v>
      </c>
    </row>
    <row r="6" customFormat="false" ht="15" hidden="false" customHeight="false" outlineLevel="2" collapsed="false">
      <c r="A6" s="16"/>
      <c r="B6" s="16"/>
      <c r="C6" s="16" t="s">
        <v>38</v>
      </c>
      <c r="D6" s="16"/>
      <c r="E6" s="16"/>
      <c r="F6" s="17" t="s">
        <v>37</v>
      </c>
    </row>
    <row r="7" customFormat="false" ht="15" hidden="false" customHeight="false" outlineLevel="2" collapsed="false">
      <c r="A7" s="16"/>
      <c r="B7" s="16"/>
      <c r="C7" s="16" t="s">
        <v>45</v>
      </c>
      <c r="D7" s="16"/>
      <c r="E7" s="16"/>
      <c r="F7" s="17" t="s">
        <v>44</v>
      </c>
    </row>
    <row r="8" customFormat="false" ht="15" hidden="false" customHeight="false" outlineLevel="2" collapsed="false">
      <c r="A8" s="16"/>
      <c r="B8" s="16"/>
      <c r="C8" s="16" t="s">
        <v>51</v>
      </c>
      <c r="D8" s="16"/>
      <c r="E8" s="16"/>
      <c r="F8" s="17" t="s">
        <v>50</v>
      </c>
    </row>
    <row r="9" customFormat="false" ht="15" hidden="false" customHeight="false" outlineLevel="2" collapsed="false">
      <c r="A9" s="16"/>
      <c r="B9" s="16"/>
      <c r="C9" s="16" t="s">
        <v>56</v>
      </c>
      <c r="D9" s="16"/>
      <c r="E9" s="16"/>
      <c r="F9" s="17" t="s">
        <v>55</v>
      </c>
    </row>
    <row r="10" customFormat="false" ht="15" hidden="false" customHeight="false" outlineLevel="1" collapsed="false">
      <c r="A10" s="16"/>
      <c r="B10" s="16" t="s">
        <v>63</v>
      </c>
      <c r="C10" s="16"/>
      <c r="D10" s="16"/>
      <c r="E10" s="16"/>
      <c r="F10" s="17" t="s">
        <v>62</v>
      </c>
    </row>
    <row r="11" customFormat="false" ht="15" hidden="false" customHeight="false" outlineLevel="2" collapsed="false">
      <c r="A11" s="16"/>
      <c r="B11" s="16"/>
      <c r="C11" s="16" t="s">
        <v>70</v>
      </c>
      <c r="D11" s="16"/>
      <c r="E11" s="16"/>
      <c r="F11" s="17" t="s">
        <v>69</v>
      </c>
    </row>
    <row r="12" customFormat="false" ht="15" hidden="false" customHeight="false" outlineLevel="3" collapsed="false">
      <c r="A12" s="16"/>
      <c r="B12" s="16"/>
      <c r="C12" s="16"/>
      <c r="D12" s="16" t="s">
        <v>76</v>
      </c>
      <c r="E12" s="16"/>
      <c r="F12" s="17" t="s">
        <v>75</v>
      </c>
    </row>
    <row r="13" customFormat="false" ht="15" hidden="false" customHeight="false" outlineLevel="3" collapsed="false">
      <c r="A13" s="16"/>
      <c r="B13" s="16"/>
      <c r="C13" s="16"/>
      <c r="D13" s="16" t="s">
        <v>83</v>
      </c>
      <c r="E13" s="16"/>
      <c r="F13" s="17" t="s">
        <v>82</v>
      </c>
    </row>
    <row r="14" customFormat="false" ht="15" hidden="false" customHeight="false" outlineLevel="3" collapsed="false">
      <c r="A14" s="16"/>
      <c r="B14" s="16"/>
      <c r="C14" s="16"/>
      <c r="D14" s="16" t="s">
        <v>89</v>
      </c>
      <c r="E14" s="16"/>
      <c r="F14" s="17" t="s">
        <v>88</v>
      </c>
    </row>
    <row r="15" customFormat="false" ht="15" hidden="false" customHeight="false" outlineLevel="3" collapsed="false">
      <c r="A15" s="16"/>
      <c r="B15" s="16"/>
      <c r="C15" s="16"/>
      <c r="D15" s="16" t="s">
        <v>95</v>
      </c>
      <c r="E15" s="16"/>
      <c r="F15" s="17" t="s">
        <v>94</v>
      </c>
    </row>
    <row r="16" customFormat="false" ht="15" hidden="false" customHeight="false" outlineLevel="3" collapsed="false">
      <c r="A16" s="16"/>
      <c r="B16" s="16"/>
      <c r="C16" s="16"/>
      <c r="D16" s="16" t="s">
        <v>101</v>
      </c>
      <c r="E16" s="16"/>
      <c r="F16" s="17" t="s">
        <v>100</v>
      </c>
    </row>
    <row r="17" customFormat="false" ht="15" hidden="false" customHeight="false" outlineLevel="3" collapsed="false">
      <c r="A17" s="16"/>
      <c r="B17" s="16"/>
      <c r="C17" s="16"/>
      <c r="D17" s="16" t="s">
        <v>108</v>
      </c>
      <c r="E17" s="16"/>
      <c r="F17" s="17" t="s">
        <v>107</v>
      </c>
    </row>
    <row r="18" customFormat="false" ht="15" hidden="false" customHeight="false" outlineLevel="3" collapsed="false">
      <c r="A18" s="16"/>
      <c r="B18" s="16"/>
      <c r="C18" s="16"/>
      <c r="D18" s="16" t="s">
        <v>114</v>
      </c>
      <c r="E18" s="16"/>
      <c r="F18" s="17" t="s">
        <v>113</v>
      </c>
    </row>
    <row r="19" customFormat="false" ht="15" hidden="false" customHeight="false" outlineLevel="2" collapsed="false">
      <c r="A19" s="16"/>
      <c r="B19" s="16"/>
      <c r="C19" s="16" t="s">
        <v>121</v>
      </c>
      <c r="D19" s="16"/>
      <c r="E19" s="16"/>
      <c r="F19" s="17" t="s">
        <v>120</v>
      </c>
    </row>
    <row r="20" customFormat="false" ht="15" hidden="false" customHeight="false" outlineLevel="3" collapsed="false">
      <c r="A20" s="16"/>
      <c r="B20" s="16"/>
      <c r="C20" s="16"/>
      <c r="D20" s="16" t="s">
        <v>127</v>
      </c>
      <c r="E20" s="16"/>
      <c r="F20" s="17" t="s">
        <v>126</v>
      </c>
    </row>
    <row r="21" customFormat="false" ht="15" hidden="false" customHeight="false" outlineLevel="3" collapsed="false">
      <c r="A21" s="16"/>
      <c r="B21" s="16"/>
      <c r="C21" s="16"/>
      <c r="D21" s="16" t="s">
        <v>133</v>
      </c>
      <c r="E21" s="16"/>
      <c r="F21" s="17" t="s">
        <v>132</v>
      </c>
    </row>
    <row r="22" customFormat="false" ht="15" hidden="false" customHeight="false" outlineLevel="3" collapsed="false">
      <c r="A22" s="16"/>
      <c r="B22" s="16"/>
      <c r="C22" s="16"/>
      <c r="D22" s="16" t="s">
        <v>140</v>
      </c>
      <c r="E22" s="16"/>
      <c r="F22" s="17" t="s">
        <v>139</v>
      </c>
    </row>
    <row r="23" customFormat="false" ht="15" hidden="false" customHeight="false" outlineLevel="3" collapsed="false">
      <c r="A23" s="16"/>
      <c r="B23" s="16"/>
      <c r="C23" s="16"/>
      <c r="D23" s="16" t="s">
        <v>147</v>
      </c>
      <c r="E23" s="16"/>
      <c r="F23" s="17" t="s">
        <v>146</v>
      </c>
    </row>
    <row r="24" customFormat="false" ht="15" hidden="false" customHeight="false" outlineLevel="3" collapsed="false">
      <c r="A24" s="16"/>
      <c r="B24" s="16"/>
      <c r="C24" s="16"/>
      <c r="D24" s="16" t="s">
        <v>153</v>
      </c>
      <c r="E24" s="16"/>
      <c r="F24" s="17" t="s">
        <v>152</v>
      </c>
    </row>
    <row r="25" customFormat="false" ht="15" hidden="false" customHeight="false" outlineLevel="2" collapsed="false">
      <c r="A25" s="16"/>
      <c r="B25" s="16"/>
      <c r="C25" s="16" t="s">
        <v>160</v>
      </c>
      <c r="D25" s="16"/>
      <c r="E25" s="16"/>
      <c r="F25" s="17" t="s">
        <v>159</v>
      </c>
    </row>
    <row r="26" customFormat="false" ht="15" hidden="false" customHeight="false" outlineLevel="1" collapsed="false">
      <c r="A26" s="16"/>
      <c r="B26" s="16" t="s">
        <v>167</v>
      </c>
      <c r="C26" s="16"/>
      <c r="D26" s="16"/>
      <c r="E26" s="16"/>
      <c r="F26" s="17" t="s">
        <v>166</v>
      </c>
    </row>
    <row r="27" customFormat="false" ht="15" hidden="false" customHeight="false" outlineLevel="2" collapsed="false">
      <c r="A27" s="16"/>
      <c r="B27" s="16"/>
      <c r="C27" s="16" t="s">
        <v>173</v>
      </c>
      <c r="D27" s="16"/>
      <c r="E27" s="16"/>
      <c r="F27" s="17" t="s">
        <v>172</v>
      </c>
    </row>
    <row r="28" customFormat="false" ht="15" hidden="false" customHeight="false" outlineLevel="2" collapsed="false">
      <c r="A28" s="16"/>
      <c r="B28" s="16"/>
      <c r="C28" s="16" t="s">
        <v>179</v>
      </c>
      <c r="D28" s="16"/>
      <c r="E28" s="16"/>
      <c r="F28" s="17" t="s">
        <v>178</v>
      </c>
    </row>
    <row r="29" customFormat="false" ht="15" hidden="false" customHeight="false" outlineLevel="3" collapsed="false">
      <c r="A29" s="16"/>
      <c r="B29" s="16"/>
      <c r="C29" s="16"/>
      <c r="D29" s="16" t="s">
        <v>185</v>
      </c>
      <c r="E29" s="16"/>
      <c r="F29" s="17" t="s">
        <v>184</v>
      </c>
    </row>
    <row r="30" customFormat="false" ht="15" hidden="false" customHeight="false" outlineLevel="3" collapsed="false">
      <c r="A30" s="16"/>
      <c r="B30" s="16"/>
      <c r="C30" s="16"/>
      <c r="D30" s="16" t="s">
        <v>191</v>
      </c>
      <c r="E30" s="16"/>
      <c r="F30" s="17" t="s">
        <v>190</v>
      </c>
    </row>
    <row r="31" customFormat="false" ht="15" hidden="false" customHeight="false" outlineLevel="3" collapsed="false">
      <c r="A31" s="16"/>
      <c r="B31" s="16"/>
      <c r="C31" s="16"/>
      <c r="D31" s="16" t="s">
        <v>198</v>
      </c>
      <c r="E31" s="16"/>
      <c r="F31" s="17" t="s">
        <v>197</v>
      </c>
    </row>
    <row r="32" customFormat="false" ht="15" hidden="false" customHeight="false" outlineLevel="4" collapsed="false">
      <c r="A32" s="16"/>
      <c r="B32" s="16"/>
      <c r="C32" s="16"/>
      <c r="D32" s="16"/>
      <c r="E32" s="16" t="s">
        <v>204</v>
      </c>
      <c r="F32" s="17" t="s">
        <v>203</v>
      </c>
    </row>
    <row r="33" customFormat="false" ht="15" hidden="false" customHeight="false" outlineLevel="4" collapsed="false">
      <c r="A33" s="16"/>
      <c r="B33" s="16"/>
      <c r="C33" s="16"/>
      <c r="D33" s="16"/>
      <c r="E33" s="16" t="s">
        <v>210</v>
      </c>
      <c r="F33" s="17" t="s">
        <v>209</v>
      </c>
    </row>
    <row r="34" customFormat="false" ht="15" hidden="false" customHeight="false" outlineLevel="4" collapsed="false">
      <c r="A34" s="16"/>
      <c r="B34" s="16"/>
      <c r="C34" s="16"/>
      <c r="D34" s="16"/>
      <c r="E34" s="16" t="s">
        <v>217</v>
      </c>
      <c r="F34" s="17" t="s">
        <v>216</v>
      </c>
    </row>
    <row r="35" customFormat="false" ht="15" hidden="false" customHeight="false" outlineLevel="4" collapsed="false">
      <c r="A35" s="16"/>
      <c r="B35" s="16"/>
      <c r="C35" s="16"/>
      <c r="D35" s="16"/>
      <c r="E35" s="16" t="s">
        <v>223</v>
      </c>
      <c r="F35" s="17" t="s">
        <v>222</v>
      </c>
    </row>
    <row r="36" customFormat="false" ht="15" hidden="false" customHeight="false" outlineLevel="3" collapsed="false">
      <c r="A36" s="16"/>
      <c r="B36" s="16"/>
      <c r="C36" s="16"/>
      <c r="D36" s="16" t="s">
        <v>228</v>
      </c>
      <c r="E36" s="16"/>
      <c r="F36" s="17" t="s">
        <v>227</v>
      </c>
    </row>
    <row r="37" customFormat="false" ht="15" hidden="false" customHeight="false" outlineLevel="3" collapsed="false">
      <c r="A37" s="16"/>
      <c r="B37" s="16"/>
      <c r="C37" s="16"/>
      <c r="D37" s="16" t="s">
        <v>235</v>
      </c>
      <c r="E37" s="16"/>
      <c r="F37" s="17" t="s">
        <v>234</v>
      </c>
    </row>
    <row r="38" customFormat="false" ht="15" hidden="false" customHeight="false" outlineLevel="2" collapsed="false">
      <c r="A38" s="16"/>
      <c r="B38" s="16"/>
      <c r="C38" s="16" t="s">
        <v>242</v>
      </c>
      <c r="D38" s="16"/>
      <c r="E38" s="16"/>
      <c r="F38" s="17" t="s">
        <v>241</v>
      </c>
    </row>
    <row r="39" customFormat="false" ht="15" hidden="false" customHeight="false" outlineLevel="2" collapsed="false">
      <c r="A39" s="16"/>
      <c r="B39" s="16"/>
      <c r="C39" s="16" t="s">
        <v>248</v>
      </c>
      <c r="D39" s="16"/>
      <c r="E39" s="16"/>
      <c r="F39" s="17" t="s">
        <v>247</v>
      </c>
    </row>
    <row r="40" customFormat="false" ht="15" hidden="false" customHeight="false" outlineLevel="2" collapsed="false">
      <c r="A40" s="16"/>
      <c r="B40" s="16"/>
      <c r="C40" s="16" t="s">
        <v>254</v>
      </c>
      <c r="D40" s="16"/>
      <c r="E40" s="16"/>
      <c r="F40" s="17" t="s">
        <v>253</v>
      </c>
    </row>
    <row r="41" customFormat="false" ht="15" hidden="false" customHeight="false" outlineLevel="1" collapsed="false">
      <c r="A41" s="16"/>
      <c r="B41" s="16" t="s">
        <v>262</v>
      </c>
      <c r="C41" s="16"/>
      <c r="D41" s="16"/>
      <c r="E41" s="16"/>
      <c r="F41" s="17" t="s">
        <v>261</v>
      </c>
    </row>
    <row r="42" customFormat="false" ht="15" hidden="false" customHeight="false" outlineLevel="2" collapsed="false">
      <c r="A42" s="16"/>
      <c r="B42" s="16"/>
      <c r="C42" s="16" t="s">
        <v>269</v>
      </c>
      <c r="D42" s="16"/>
      <c r="E42" s="16"/>
      <c r="F42" s="17" t="s">
        <v>268</v>
      </c>
    </row>
    <row r="43" customFormat="false" ht="15" hidden="false" customHeight="false" outlineLevel="2" collapsed="false">
      <c r="A43" s="16"/>
      <c r="B43" s="16"/>
      <c r="C43" s="16" t="s">
        <v>276</v>
      </c>
      <c r="D43" s="16"/>
      <c r="E43" s="16"/>
      <c r="F43" s="17" t="s">
        <v>275</v>
      </c>
    </row>
    <row r="44" customFormat="false" ht="15" hidden="false" customHeight="false" outlineLevel="2" collapsed="false">
      <c r="A44" s="16"/>
      <c r="B44" s="16"/>
      <c r="C44" s="16" t="s">
        <v>283</v>
      </c>
      <c r="D44" s="16"/>
      <c r="E44" s="16"/>
      <c r="F44" s="17" t="s">
        <v>282</v>
      </c>
    </row>
    <row r="45" customFormat="false" ht="15" hidden="false" customHeight="false" outlineLevel="2" collapsed="false">
      <c r="A45" s="16"/>
      <c r="B45" s="16"/>
      <c r="C45" s="16" t="s">
        <v>289</v>
      </c>
      <c r="D45" s="16"/>
      <c r="E45" s="16"/>
      <c r="F45" s="17" t="s">
        <v>288</v>
      </c>
    </row>
    <row r="46" customFormat="false" ht="15" hidden="false" customHeight="false" outlineLevel="2" collapsed="false">
      <c r="A46" s="16"/>
      <c r="B46" s="16"/>
      <c r="C46" s="16" t="s">
        <v>296</v>
      </c>
      <c r="D46" s="16"/>
      <c r="E46" s="16"/>
      <c r="F46" s="17" t="s">
        <v>295</v>
      </c>
    </row>
    <row r="47" customFormat="false" ht="15" hidden="false" customHeight="false" outlineLevel="2" collapsed="false">
      <c r="A47" s="16"/>
      <c r="B47" s="16"/>
      <c r="C47" s="16" t="s">
        <v>302</v>
      </c>
      <c r="D47" s="16"/>
      <c r="E47" s="16"/>
      <c r="F47" s="17" t="s">
        <v>301</v>
      </c>
    </row>
    <row r="48" customFormat="false" ht="15" hidden="false" customHeight="false" outlineLevel="2" collapsed="false">
      <c r="A48" s="16"/>
      <c r="B48" s="16"/>
      <c r="C48" s="16" t="s">
        <v>308</v>
      </c>
      <c r="D48" s="16"/>
      <c r="E48" s="16"/>
      <c r="F48" s="17" t="s">
        <v>307</v>
      </c>
    </row>
    <row r="49" customFormat="false" ht="15" hidden="false" customHeight="false" outlineLevel="1" collapsed="false">
      <c r="A49" s="16"/>
      <c r="B49" s="16" t="s">
        <v>314</v>
      </c>
      <c r="C49" s="16"/>
      <c r="D49" s="16"/>
      <c r="E49" s="16"/>
      <c r="F49" s="17" t="s">
        <v>313</v>
      </c>
    </row>
    <row r="50" customFormat="false" ht="15" hidden="false" customHeight="false" outlineLevel="2" collapsed="false">
      <c r="A50" s="16"/>
      <c r="B50" s="16"/>
      <c r="C50" s="16" t="s">
        <v>320</v>
      </c>
      <c r="D50" s="16"/>
      <c r="E50" s="16"/>
      <c r="F50" s="17" t="s">
        <v>319</v>
      </c>
    </row>
    <row r="51" customFormat="false" ht="15" hidden="false" customHeight="false" outlineLevel="2" collapsed="false">
      <c r="A51" s="16"/>
      <c r="B51" s="16"/>
      <c r="C51" s="16" t="s">
        <v>326</v>
      </c>
      <c r="D51" s="16"/>
      <c r="E51" s="16"/>
      <c r="F51" s="17" t="s">
        <v>325</v>
      </c>
    </row>
    <row r="52" customFormat="false" ht="15" hidden="false" customHeight="false" outlineLevel="2" collapsed="false">
      <c r="A52" s="16"/>
      <c r="B52" s="16"/>
      <c r="C52" s="16" t="s">
        <v>331</v>
      </c>
      <c r="D52" s="16"/>
      <c r="E52" s="16"/>
      <c r="F52" s="17" t="s">
        <v>330</v>
      </c>
    </row>
    <row r="53" customFormat="false" ht="15" hidden="false" customHeight="false" outlineLevel="3" collapsed="false">
      <c r="A53" s="16"/>
      <c r="B53" s="16"/>
      <c r="C53" s="16"/>
      <c r="D53" s="16" t="s">
        <v>338</v>
      </c>
      <c r="E53" s="16"/>
      <c r="F53" s="17" t="s">
        <v>337</v>
      </c>
    </row>
    <row r="54" customFormat="false" ht="15" hidden="false" customHeight="false" outlineLevel="3" collapsed="false">
      <c r="A54" s="16"/>
      <c r="B54" s="16"/>
      <c r="C54" s="16"/>
      <c r="D54" s="16" t="s">
        <v>343</v>
      </c>
      <c r="E54" s="16"/>
      <c r="F54" s="17" t="s">
        <v>342</v>
      </c>
    </row>
    <row r="55" customFormat="false" ht="15" hidden="false" customHeight="false" outlineLevel="3" collapsed="false">
      <c r="A55" s="16"/>
      <c r="B55" s="16"/>
      <c r="C55" s="16"/>
      <c r="D55" s="16" t="s">
        <v>348</v>
      </c>
      <c r="E55" s="16"/>
      <c r="F55" s="17" t="s">
        <v>347</v>
      </c>
    </row>
    <row r="56" customFormat="false" ht="15" hidden="false" customHeight="false" outlineLevel="2" collapsed="false">
      <c r="A56" s="16"/>
      <c r="B56" s="16"/>
      <c r="C56" s="16" t="s">
        <v>353</v>
      </c>
      <c r="D56" s="16"/>
      <c r="E56" s="16"/>
      <c r="F56" s="17" t="s">
        <v>352</v>
      </c>
    </row>
    <row r="57" customFormat="false" ht="15" hidden="false" customHeight="false" outlineLevel="2" collapsed="false">
      <c r="A57" s="16"/>
      <c r="B57" s="16"/>
      <c r="C57" s="16" t="s">
        <v>359</v>
      </c>
      <c r="D57" s="16"/>
      <c r="E57" s="16"/>
      <c r="F57" s="17" t="s">
        <v>358</v>
      </c>
    </row>
    <row r="58" customFormat="false" ht="15" hidden="false" customHeight="false" outlineLevel="2" collapsed="false">
      <c r="A58" s="16"/>
      <c r="B58" s="16"/>
      <c r="C58" s="16" t="s">
        <v>365</v>
      </c>
      <c r="D58" s="16"/>
      <c r="E58" s="16"/>
      <c r="F58" s="17" t="s">
        <v>364</v>
      </c>
    </row>
    <row r="59" customFormat="false" ht="15" hidden="false" customHeight="false" outlineLevel="2" collapsed="false">
      <c r="A59" s="16"/>
      <c r="B59" s="16"/>
      <c r="C59" s="16" t="s">
        <v>371</v>
      </c>
      <c r="D59" s="16"/>
      <c r="E59" s="16"/>
      <c r="F59" s="17" t="s">
        <v>370</v>
      </c>
    </row>
    <row r="60" customFormat="false" ht="15" hidden="false" customHeight="false" outlineLevel="0" collapsed="false">
      <c r="A60" s="14" t="s">
        <v>378</v>
      </c>
      <c r="B60" s="14"/>
      <c r="C60" s="14"/>
      <c r="D60" s="14"/>
      <c r="E60" s="14"/>
      <c r="F60" s="15" t="s">
        <v>377</v>
      </c>
    </row>
    <row r="61" customFormat="false" ht="15" hidden="false" customHeight="false" outlineLevel="1" collapsed="false">
      <c r="A61" s="16"/>
      <c r="B61" s="16" t="s">
        <v>384</v>
      </c>
      <c r="C61" s="16"/>
      <c r="D61" s="16"/>
      <c r="E61" s="16"/>
      <c r="F61" s="17" t="s">
        <v>383</v>
      </c>
    </row>
    <row r="62" customFormat="false" ht="15" hidden="false" customHeight="false" outlineLevel="2" collapsed="false">
      <c r="A62" s="16"/>
      <c r="B62" s="16"/>
      <c r="C62" s="16" t="s">
        <v>391</v>
      </c>
      <c r="D62" s="16"/>
      <c r="E62" s="16"/>
      <c r="F62" s="17" t="s">
        <v>390</v>
      </c>
    </row>
    <row r="63" customFormat="false" ht="15" hidden="false" customHeight="false" outlineLevel="3" collapsed="false">
      <c r="A63" s="16"/>
      <c r="B63" s="16"/>
      <c r="C63" s="16"/>
      <c r="D63" s="16" t="s">
        <v>397</v>
      </c>
      <c r="E63" s="16"/>
      <c r="F63" s="17" t="s">
        <v>396</v>
      </c>
    </row>
    <row r="64" customFormat="false" ht="15" hidden="false" customHeight="false" outlineLevel="3" collapsed="false">
      <c r="A64" s="16"/>
      <c r="B64" s="16"/>
      <c r="C64" s="16"/>
      <c r="D64" s="16" t="s">
        <v>403</v>
      </c>
      <c r="E64" s="16"/>
      <c r="F64" s="17" t="s">
        <v>402</v>
      </c>
    </row>
    <row r="65" customFormat="false" ht="15" hidden="false" customHeight="false" outlineLevel="3" collapsed="false">
      <c r="A65" s="16"/>
      <c r="B65" s="16"/>
      <c r="C65" s="16"/>
      <c r="D65" s="16" t="s">
        <v>409</v>
      </c>
      <c r="E65" s="16"/>
      <c r="F65" s="17" t="s">
        <v>408</v>
      </c>
    </row>
    <row r="66" customFormat="false" ht="15" hidden="false" customHeight="false" outlineLevel="3" collapsed="false">
      <c r="A66" s="16"/>
      <c r="B66" s="16"/>
      <c r="C66" s="16"/>
      <c r="D66" s="16" t="s">
        <v>414</v>
      </c>
      <c r="E66" s="16"/>
      <c r="F66" s="17" t="s">
        <v>413</v>
      </c>
    </row>
    <row r="67" customFormat="false" ht="15" hidden="false" customHeight="false" outlineLevel="3" collapsed="false">
      <c r="A67" s="16"/>
      <c r="B67" s="16"/>
      <c r="C67" s="16"/>
      <c r="D67" s="16" t="s">
        <v>419</v>
      </c>
      <c r="E67" s="16"/>
      <c r="F67" s="17" t="s">
        <v>418</v>
      </c>
    </row>
    <row r="68" customFormat="false" ht="15" hidden="false" customHeight="false" outlineLevel="3" collapsed="false">
      <c r="A68" s="16"/>
      <c r="B68" s="16"/>
      <c r="C68" s="16"/>
      <c r="D68" s="16" t="s">
        <v>426</v>
      </c>
      <c r="E68" s="16"/>
      <c r="F68" s="17" t="s">
        <v>425</v>
      </c>
    </row>
    <row r="69" customFormat="false" ht="15" hidden="false" customHeight="false" outlineLevel="2" collapsed="false">
      <c r="A69" s="16"/>
      <c r="B69" s="16"/>
      <c r="C69" s="16" t="s">
        <v>432</v>
      </c>
      <c r="D69" s="16"/>
      <c r="E69" s="16"/>
      <c r="F69" s="17" t="s">
        <v>431</v>
      </c>
    </row>
    <row r="70" customFormat="false" ht="15" hidden="false" customHeight="false" outlineLevel="3" collapsed="false">
      <c r="A70" s="16"/>
      <c r="B70" s="16"/>
      <c r="C70" s="16"/>
      <c r="D70" s="16" t="s">
        <v>439</v>
      </c>
      <c r="E70" s="16"/>
      <c r="F70" s="17" t="s">
        <v>438</v>
      </c>
    </row>
    <row r="71" customFormat="false" ht="15" hidden="false" customHeight="false" outlineLevel="3" collapsed="false">
      <c r="A71" s="16"/>
      <c r="B71" s="16"/>
      <c r="C71" s="16"/>
      <c r="D71" s="16" t="s">
        <v>445</v>
      </c>
      <c r="E71" s="16"/>
      <c r="F71" s="17" t="s">
        <v>444</v>
      </c>
    </row>
    <row r="72" customFormat="false" ht="15" hidden="false" customHeight="false" outlineLevel="4" collapsed="false">
      <c r="A72" s="16"/>
      <c r="B72" s="16"/>
      <c r="C72" s="16"/>
      <c r="D72" s="16"/>
      <c r="E72" s="16" t="s">
        <v>451</v>
      </c>
      <c r="F72" s="17" t="s">
        <v>450</v>
      </c>
    </row>
    <row r="73" customFormat="false" ht="15" hidden="false" customHeight="false" outlineLevel="4" collapsed="false">
      <c r="A73" s="16"/>
      <c r="B73" s="16"/>
      <c r="C73" s="16"/>
      <c r="D73" s="16"/>
      <c r="E73" s="16" t="s">
        <v>458</v>
      </c>
      <c r="F73" s="17" t="s">
        <v>457</v>
      </c>
    </row>
    <row r="74" customFormat="false" ht="15" hidden="false" customHeight="false" outlineLevel="4" collapsed="false">
      <c r="A74" s="16"/>
      <c r="B74" s="16"/>
      <c r="C74" s="16"/>
      <c r="D74" s="16"/>
      <c r="E74" s="16" t="s">
        <v>464</v>
      </c>
      <c r="F74" s="17" t="s">
        <v>463</v>
      </c>
    </row>
    <row r="75" customFormat="false" ht="15" hidden="false" customHeight="false" outlineLevel="3" collapsed="false">
      <c r="A75" s="16"/>
      <c r="B75" s="16"/>
      <c r="C75" s="16"/>
      <c r="D75" s="16" t="s">
        <v>470</v>
      </c>
      <c r="E75" s="16"/>
      <c r="F75" s="17" t="s">
        <v>469</v>
      </c>
    </row>
    <row r="76" customFormat="false" ht="15" hidden="false" customHeight="false" outlineLevel="3" collapsed="false">
      <c r="A76" s="16"/>
      <c r="B76" s="16"/>
      <c r="C76" s="16"/>
      <c r="D76" s="16" t="s">
        <v>476</v>
      </c>
      <c r="E76" s="16"/>
      <c r="F76" s="17" t="s">
        <v>475</v>
      </c>
    </row>
    <row r="77" customFormat="false" ht="15" hidden="false" customHeight="false" outlineLevel="3" collapsed="false">
      <c r="A77" s="16"/>
      <c r="B77" s="16"/>
      <c r="C77" s="16"/>
      <c r="D77" s="16" t="s">
        <v>482</v>
      </c>
      <c r="E77" s="16"/>
      <c r="F77" s="17" t="s">
        <v>481</v>
      </c>
    </row>
    <row r="78" customFormat="false" ht="15" hidden="false" customHeight="false" outlineLevel="2" collapsed="false">
      <c r="A78" s="16"/>
      <c r="B78" s="16"/>
      <c r="C78" s="16" t="s">
        <v>488</v>
      </c>
      <c r="D78" s="16"/>
      <c r="E78" s="16"/>
      <c r="F78" s="17" t="s">
        <v>487</v>
      </c>
    </row>
    <row r="79" customFormat="false" ht="15" hidden="false" customHeight="false" outlineLevel="3" collapsed="false">
      <c r="A79" s="16"/>
      <c r="B79" s="16"/>
      <c r="C79" s="16"/>
      <c r="D79" s="16" t="s">
        <v>495</v>
      </c>
      <c r="E79" s="16"/>
      <c r="F79" s="17" t="s">
        <v>494</v>
      </c>
    </row>
    <row r="80" customFormat="false" ht="15" hidden="false" customHeight="false" outlineLevel="3" collapsed="false">
      <c r="A80" s="16"/>
      <c r="B80" s="16"/>
      <c r="C80" s="16"/>
      <c r="D80" s="16" t="s">
        <v>501</v>
      </c>
      <c r="E80" s="16"/>
      <c r="F80" s="17" t="s">
        <v>500</v>
      </c>
    </row>
    <row r="81" customFormat="false" ht="15" hidden="false" customHeight="false" outlineLevel="3" collapsed="false">
      <c r="A81" s="16"/>
      <c r="B81" s="16"/>
      <c r="C81" s="16"/>
      <c r="D81" s="16" t="s">
        <v>508</v>
      </c>
      <c r="E81" s="16"/>
      <c r="F81" s="17" t="s">
        <v>507</v>
      </c>
    </row>
    <row r="82" customFormat="false" ht="15" hidden="false" customHeight="false" outlineLevel="3" collapsed="false">
      <c r="A82" s="16"/>
      <c r="B82" s="16"/>
      <c r="C82" s="16"/>
      <c r="D82" s="16" t="s">
        <v>515</v>
      </c>
      <c r="E82" s="16"/>
      <c r="F82" s="17" t="s">
        <v>514</v>
      </c>
    </row>
    <row r="83" customFormat="false" ht="15" hidden="false" customHeight="false" outlineLevel="3" collapsed="false">
      <c r="A83" s="16"/>
      <c r="B83" s="16"/>
      <c r="C83" s="16"/>
      <c r="D83" s="16" t="s">
        <v>520</v>
      </c>
      <c r="E83" s="16"/>
      <c r="F83" s="17" t="s">
        <v>519</v>
      </c>
    </row>
    <row r="84" customFormat="false" ht="15" hidden="false" customHeight="false" outlineLevel="3" collapsed="false">
      <c r="A84" s="16"/>
      <c r="B84" s="16"/>
      <c r="C84" s="16"/>
      <c r="D84" s="16" t="s">
        <v>526</v>
      </c>
      <c r="E84" s="16"/>
      <c r="F84" s="17" t="s">
        <v>525</v>
      </c>
    </row>
    <row r="85" customFormat="false" ht="15" hidden="false" customHeight="false" outlineLevel="2" collapsed="false">
      <c r="A85" s="16"/>
      <c r="B85" s="16"/>
      <c r="C85" s="16" t="s">
        <v>532</v>
      </c>
      <c r="D85" s="16"/>
      <c r="E85" s="16"/>
      <c r="F85" s="17" t="s">
        <v>531</v>
      </c>
    </row>
    <row r="86" customFormat="false" ht="15" hidden="false" customHeight="false" outlineLevel="2" collapsed="false">
      <c r="A86" s="16"/>
      <c r="B86" s="16"/>
      <c r="C86" s="16" t="s">
        <v>539</v>
      </c>
      <c r="D86" s="16"/>
      <c r="E86" s="16"/>
      <c r="F86" s="17" t="s">
        <v>538</v>
      </c>
    </row>
    <row r="87" customFormat="false" ht="15" hidden="false" customHeight="false" outlineLevel="1" collapsed="false">
      <c r="A87" s="16"/>
      <c r="B87" s="16" t="s">
        <v>546</v>
      </c>
      <c r="C87" s="16"/>
      <c r="D87" s="16"/>
      <c r="E87" s="16"/>
      <c r="F87" s="17" t="s">
        <v>545</v>
      </c>
    </row>
    <row r="88" customFormat="false" ht="15" hidden="false" customHeight="false" outlineLevel="2" collapsed="false">
      <c r="A88" s="16"/>
      <c r="B88" s="16"/>
      <c r="C88" s="16" t="s">
        <v>553</v>
      </c>
      <c r="D88" s="16"/>
      <c r="E88" s="16"/>
      <c r="F88" s="17" t="s">
        <v>552</v>
      </c>
    </row>
    <row r="89" customFormat="false" ht="15" hidden="false" customHeight="false" outlineLevel="3" collapsed="false">
      <c r="A89" s="16"/>
      <c r="B89" s="16"/>
      <c r="C89" s="16"/>
      <c r="D89" s="16" t="s">
        <v>560</v>
      </c>
      <c r="E89" s="16"/>
      <c r="F89" s="17" t="s">
        <v>559</v>
      </c>
    </row>
    <row r="90" customFormat="false" ht="15" hidden="false" customHeight="false" outlineLevel="3" collapsed="false">
      <c r="A90" s="16"/>
      <c r="B90" s="16"/>
      <c r="C90" s="16"/>
      <c r="D90" s="16" t="s">
        <v>565</v>
      </c>
      <c r="E90" s="16"/>
      <c r="F90" s="17" t="s">
        <v>564</v>
      </c>
    </row>
    <row r="91" customFormat="false" ht="15" hidden="false" customHeight="false" outlineLevel="3" collapsed="false">
      <c r="A91" s="16"/>
      <c r="B91" s="16"/>
      <c r="C91" s="16"/>
      <c r="D91" s="16" t="s">
        <v>570</v>
      </c>
      <c r="E91" s="16"/>
      <c r="F91" s="17" t="s">
        <v>569</v>
      </c>
    </row>
    <row r="92" customFormat="false" ht="15" hidden="false" customHeight="false" outlineLevel="4" collapsed="false">
      <c r="A92" s="16"/>
      <c r="B92" s="16"/>
      <c r="C92" s="16"/>
      <c r="D92" s="16"/>
      <c r="E92" s="16" t="s">
        <v>575</v>
      </c>
      <c r="F92" s="17" t="s">
        <v>574</v>
      </c>
    </row>
    <row r="93" customFormat="false" ht="15" hidden="false" customHeight="false" outlineLevel="4" collapsed="false">
      <c r="A93" s="16"/>
      <c r="B93" s="16"/>
      <c r="C93" s="16"/>
      <c r="D93" s="16"/>
      <c r="E93" s="16" t="s">
        <v>581</v>
      </c>
      <c r="F93" s="17" t="s">
        <v>580</v>
      </c>
    </row>
    <row r="94" customFormat="false" ht="15" hidden="false" customHeight="false" outlineLevel="4" collapsed="false">
      <c r="A94" s="16"/>
      <c r="B94" s="16"/>
      <c r="C94" s="16"/>
      <c r="D94" s="16"/>
      <c r="E94" s="16" t="s">
        <v>586</v>
      </c>
      <c r="F94" s="17" t="s">
        <v>585</v>
      </c>
    </row>
    <row r="95" customFormat="false" ht="15" hidden="false" customHeight="false" outlineLevel="3" collapsed="false">
      <c r="A95" s="16"/>
      <c r="B95" s="16"/>
      <c r="C95" s="16"/>
      <c r="D95" s="16" t="s">
        <v>591</v>
      </c>
      <c r="E95" s="16"/>
      <c r="F95" s="17" t="s">
        <v>590</v>
      </c>
    </row>
    <row r="96" customFormat="false" ht="15" hidden="false" customHeight="false" outlineLevel="3" collapsed="false">
      <c r="A96" s="16"/>
      <c r="B96" s="16"/>
      <c r="C96" s="16"/>
      <c r="D96" s="16" t="s">
        <v>596</v>
      </c>
      <c r="E96" s="16"/>
      <c r="F96" s="17" t="s">
        <v>595</v>
      </c>
    </row>
    <row r="97" customFormat="false" ht="15" hidden="false" customHeight="false" outlineLevel="2" collapsed="false">
      <c r="A97" s="16"/>
      <c r="B97" s="16"/>
      <c r="C97" s="16" t="s">
        <v>602</v>
      </c>
      <c r="D97" s="16"/>
      <c r="E97" s="16"/>
      <c r="F97" s="17" t="s">
        <v>601</v>
      </c>
    </row>
    <row r="98" customFormat="false" ht="15" hidden="false" customHeight="false" outlineLevel="2" collapsed="false">
      <c r="A98" s="16"/>
      <c r="B98" s="16"/>
      <c r="C98" s="16" t="s">
        <v>609</v>
      </c>
      <c r="D98" s="16"/>
      <c r="E98" s="16"/>
      <c r="F98" s="17" t="s">
        <v>608</v>
      </c>
    </row>
    <row r="99" customFormat="false" ht="15" hidden="false" customHeight="false" outlineLevel="3" collapsed="false">
      <c r="A99" s="16"/>
      <c r="B99" s="16"/>
      <c r="C99" s="16"/>
      <c r="D99" s="16" t="s">
        <v>616</v>
      </c>
      <c r="E99" s="16"/>
      <c r="F99" s="17" t="s">
        <v>615</v>
      </c>
    </row>
    <row r="100" customFormat="false" ht="15" hidden="false" customHeight="false" outlineLevel="3" collapsed="false">
      <c r="A100" s="16"/>
      <c r="B100" s="16"/>
      <c r="C100" s="16"/>
      <c r="D100" s="16" t="s">
        <v>621</v>
      </c>
      <c r="E100" s="16"/>
      <c r="F100" s="17" t="s">
        <v>620</v>
      </c>
    </row>
    <row r="101" customFormat="false" ht="15" hidden="false" customHeight="false" outlineLevel="3" collapsed="false">
      <c r="A101" s="16"/>
      <c r="B101" s="16"/>
      <c r="C101" s="16"/>
      <c r="D101" s="16" t="s">
        <v>626</v>
      </c>
      <c r="E101" s="16"/>
      <c r="F101" s="17" t="s">
        <v>625</v>
      </c>
    </row>
    <row r="102" customFormat="false" ht="15" hidden="false" customHeight="false" outlineLevel="3" collapsed="false">
      <c r="A102" s="16"/>
      <c r="B102" s="16"/>
      <c r="C102" s="16"/>
      <c r="D102" s="16" t="s">
        <v>632</v>
      </c>
      <c r="E102" s="16"/>
      <c r="F102" s="17" t="s">
        <v>631</v>
      </c>
    </row>
    <row r="103" customFormat="false" ht="15" hidden="false" customHeight="false" outlineLevel="1" collapsed="false">
      <c r="A103" s="16"/>
      <c r="B103" s="16" t="s">
        <v>638</v>
      </c>
      <c r="C103" s="16"/>
      <c r="D103" s="16"/>
      <c r="E103" s="16"/>
      <c r="F103" s="17" t="s">
        <v>637</v>
      </c>
    </row>
    <row r="104" customFormat="false" ht="15" hidden="false" customHeight="false" outlineLevel="2" collapsed="false">
      <c r="A104" s="16"/>
      <c r="B104" s="16"/>
      <c r="C104" s="16" t="s">
        <v>645</v>
      </c>
      <c r="D104" s="16"/>
      <c r="E104" s="16"/>
      <c r="F104" s="17" t="s">
        <v>644</v>
      </c>
    </row>
    <row r="105" customFormat="false" ht="15" hidden="false" customHeight="false" outlineLevel="2" collapsed="false">
      <c r="A105" s="16"/>
      <c r="B105" s="16"/>
      <c r="C105" s="16" t="s">
        <v>651</v>
      </c>
      <c r="D105" s="16"/>
      <c r="E105" s="16"/>
      <c r="F105" s="17" t="s">
        <v>650</v>
      </c>
    </row>
    <row r="106" customFormat="false" ht="15" hidden="false" customHeight="false" outlineLevel="2" collapsed="false">
      <c r="A106" s="16"/>
      <c r="B106" s="16"/>
      <c r="C106" s="16" t="s">
        <v>657</v>
      </c>
      <c r="D106" s="16"/>
      <c r="E106" s="16"/>
      <c r="F106" s="17" t="s">
        <v>656</v>
      </c>
    </row>
    <row r="107" customFormat="false" ht="15" hidden="false" customHeight="false" outlineLevel="2" collapsed="false">
      <c r="A107" s="16"/>
      <c r="B107" s="16"/>
      <c r="C107" s="16" t="s">
        <v>663</v>
      </c>
      <c r="D107" s="16"/>
      <c r="E107" s="16"/>
      <c r="F107" s="17" t="s">
        <v>662</v>
      </c>
    </row>
    <row r="108" customFormat="false" ht="15" hidden="false" customHeight="false" outlineLevel="2" collapsed="false">
      <c r="A108" s="16"/>
      <c r="B108" s="16"/>
      <c r="C108" s="16" t="s">
        <v>668</v>
      </c>
      <c r="D108" s="16"/>
      <c r="E108" s="16"/>
      <c r="F108" s="17" t="s">
        <v>667</v>
      </c>
    </row>
    <row r="109" customFormat="false" ht="15" hidden="false" customHeight="false" outlineLevel="3" collapsed="false">
      <c r="A109" s="16"/>
      <c r="B109" s="16"/>
      <c r="C109" s="16"/>
      <c r="D109" s="16" t="s">
        <v>674</v>
      </c>
      <c r="E109" s="16"/>
      <c r="F109" s="17" t="s">
        <v>673</v>
      </c>
    </row>
    <row r="110" customFormat="false" ht="15" hidden="false" customHeight="false" outlineLevel="3" collapsed="false">
      <c r="A110" s="16"/>
      <c r="B110" s="16"/>
      <c r="C110" s="16"/>
      <c r="D110" s="16" t="s">
        <v>679</v>
      </c>
      <c r="E110" s="16"/>
      <c r="F110" s="17" t="s">
        <v>678</v>
      </c>
    </row>
    <row r="111" customFormat="false" ht="15" hidden="false" customHeight="false" outlineLevel="2" collapsed="false">
      <c r="A111" s="16"/>
      <c r="B111" s="16"/>
      <c r="C111" s="16" t="s">
        <v>685</v>
      </c>
      <c r="D111" s="16"/>
      <c r="E111" s="16"/>
      <c r="F111" s="17" t="s">
        <v>684</v>
      </c>
    </row>
    <row r="112" customFormat="false" ht="15" hidden="false" customHeight="false" outlineLevel="1" collapsed="false">
      <c r="A112" s="16"/>
      <c r="B112" s="16" t="s">
        <v>691</v>
      </c>
      <c r="C112" s="16"/>
      <c r="D112" s="16"/>
      <c r="E112" s="16"/>
      <c r="F112" s="17" t="s">
        <v>690</v>
      </c>
    </row>
    <row r="113" customFormat="false" ht="15" hidden="false" customHeight="false" outlineLevel="2" collapsed="false">
      <c r="A113" s="16"/>
      <c r="B113" s="16"/>
      <c r="C113" s="16" t="s">
        <v>697</v>
      </c>
      <c r="D113" s="16"/>
      <c r="E113" s="16"/>
      <c r="F113" s="17" t="s">
        <v>696</v>
      </c>
    </row>
    <row r="114" customFormat="false" ht="15" hidden="false" customHeight="false" outlineLevel="2" collapsed="false">
      <c r="A114" s="16"/>
      <c r="B114" s="16"/>
      <c r="C114" s="16" t="s">
        <v>703</v>
      </c>
      <c r="D114" s="16"/>
      <c r="E114" s="16"/>
      <c r="F114" s="17" t="s">
        <v>702</v>
      </c>
    </row>
    <row r="115" customFormat="false" ht="15" hidden="false" customHeight="false" outlineLevel="3" collapsed="false">
      <c r="A115" s="16"/>
      <c r="B115" s="16"/>
      <c r="C115" s="16"/>
      <c r="D115" s="16" t="s">
        <v>709</v>
      </c>
      <c r="E115" s="16"/>
      <c r="F115" s="17" t="s">
        <v>708</v>
      </c>
    </row>
    <row r="116" customFormat="false" ht="15" hidden="false" customHeight="false" outlineLevel="3" collapsed="false">
      <c r="A116" s="16"/>
      <c r="B116" s="16"/>
      <c r="C116" s="16"/>
      <c r="D116" s="16" t="s">
        <v>716</v>
      </c>
      <c r="E116" s="16"/>
      <c r="F116" s="17" t="s">
        <v>715</v>
      </c>
    </row>
    <row r="117" customFormat="false" ht="15" hidden="false" customHeight="false" outlineLevel="2" collapsed="false">
      <c r="A117" s="16"/>
      <c r="B117" s="16"/>
      <c r="C117" s="16" t="s">
        <v>723</v>
      </c>
      <c r="D117" s="16"/>
      <c r="E117" s="16"/>
      <c r="F117" s="17" t="s">
        <v>722</v>
      </c>
    </row>
    <row r="118" customFormat="false" ht="15" hidden="false" customHeight="false" outlineLevel="2" collapsed="false">
      <c r="A118" s="16"/>
      <c r="B118" s="16"/>
      <c r="C118" s="16" t="s">
        <v>729</v>
      </c>
      <c r="D118" s="16"/>
      <c r="E118" s="16"/>
      <c r="F118" s="17" t="s">
        <v>728</v>
      </c>
    </row>
    <row r="119" customFormat="false" ht="15" hidden="false" customHeight="false" outlineLevel="2" collapsed="false">
      <c r="A119" s="16"/>
      <c r="B119" s="16"/>
      <c r="C119" s="16" t="s">
        <v>734</v>
      </c>
      <c r="D119" s="16"/>
      <c r="E119" s="16"/>
      <c r="F119" s="17" t="s">
        <v>733</v>
      </c>
    </row>
    <row r="120" customFormat="false" ht="15" hidden="false" customHeight="false" outlineLevel="2" collapsed="false">
      <c r="A120" s="16"/>
      <c r="B120" s="16"/>
      <c r="C120" s="16" t="s">
        <v>739</v>
      </c>
      <c r="D120" s="16"/>
      <c r="E120" s="16"/>
      <c r="F120" s="17" t="s">
        <v>738</v>
      </c>
    </row>
    <row r="121" customFormat="false" ht="15" hidden="false" customHeight="false" outlineLevel="1" collapsed="false">
      <c r="A121" s="16"/>
      <c r="B121" s="16" t="s">
        <v>745</v>
      </c>
      <c r="C121" s="16"/>
      <c r="D121" s="16"/>
      <c r="E121" s="16"/>
      <c r="F121" s="17" t="s">
        <v>744</v>
      </c>
    </row>
    <row r="122" customFormat="false" ht="15" hidden="false" customHeight="false" outlineLevel="2" collapsed="false">
      <c r="A122" s="16"/>
      <c r="B122" s="16"/>
      <c r="C122" s="16" t="s">
        <v>752</v>
      </c>
      <c r="D122" s="16"/>
      <c r="E122" s="16"/>
      <c r="F122" s="17" t="s">
        <v>751</v>
      </c>
    </row>
    <row r="123" customFormat="false" ht="15" hidden="false" customHeight="false" outlineLevel="2" collapsed="false">
      <c r="A123" s="16"/>
      <c r="B123" s="16"/>
      <c r="C123" s="16" t="s">
        <v>758</v>
      </c>
      <c r="D123" s="16"/>
      <c r="E123" s="16"/>
      <c r="F123" s="17" t="s">
        <v>757</v>
      </c>
    </row>
    <row r="124" customFormat="false" ht="15" hidden="false" customHeight="false" outlineLevel="2" collapsed="false">
      <c r="A124" s="16"/>
      <c r="B124" s="16"/>
      <c r="C124" s="16" t="s">
        <v>764</v>
      </c>
      <c r="D124" s="16"/>
      <c r="E124" s="16"/>
      <c r="F124" s="17" t="s">
        <v>763</v>
      </c>
    </row>
    <row r="125" customFormat="false" ht="15" hidden="false" customHeight="false" outlineLevel="1" collapsed="false">
      <c r="A125" s="16"/>
      <c r="B125" s="16" t="s">
        <v>771</v>
      </c>
      <c r="C125" s="16"/>
      <c r="D125" s="16"/>
      <c r="E125" s="16"/>
      <c r="F125" s="17" t="s">
        <v>770</v>
      </c>
    </row>
    <row r="126" customFormat="false" ht="15" hidden="false" customHeight="false" outlineLevel="2" collapsed="false">
      <c r="A126" s="16"/>
      <c r="B126" s="16"/>
      <c r="C126" s="16" t="s">
        <v>777</v>
      </c>
      <c r="D126" s="16"/>
      <c r="E126" s="16"/>
      <c r="F126" s="17" t="s">
        <v>776</v>
      </c>
    </row>
    <row r="127" customFormat="false" ht="15" hidden="false" customHeight="false" outlineLevel="2" collapsed="false">
      <c r="A127" s="16"/>
      <c r="B127" s="16"/>
      <c r="C127" s="16" t="s">
        <v>783</v>
      </c>
      <c r="D127" s="16"/>
      <c r="E127" s="16"/>
      <c r="F127" s="17" t="s">
        <v>782</v>
      </c>
    </row>
    <row r="128" customFormat="false" ht="15" hidden="false" customHeight="false" outlineLevel="2" collapsed="false">
      <c r="A128" s="16"/>
      <c r="B128" s="16"/>
      <c r="C128" s="16" t="s">
        <v>790</v>
      </c>
      <c r="D128" s="16"/>
      <c r="E128" s="16"/>
      <c r="F128" s="17" t="s">
        <v>789</v>
      </c>
    </row>
    <row r="129" customFormat="false" ht="15" hidden="false" customHeight="false" outlineLevel="0" collapsed="false">
      <c r="A129" s="14" t="s">
        <v>795</v>
      </c>
      <c r="B129" s="14"/>
      <c r="C129" s="14"/>
      <c r="D129" s="14"/>
      <c r="E129" s="14"/>
      <c r="F129" s="15" t="s">
        <v>794</v>
      </c>
    </row>
    <row r="130" customFormat="false" ht="15" hidden="false" customHeight="false" outlineLevel="1" collapsed="false">
      <c r="A130" s="16"/>
      <c r="B130" s="16" t="s">
        <v>801</v>
      </c>
      <c r="C130" s="16"/>
      <c r="D130" s="16"/>
      <c r="E130" s="16"/>
      <c r="F130" s="17" t="s">
        <v>800</v>
      </c>
    </row>
    <row r="131" customFormat="false" ht="15" hidden="false" customHeight="false" outlineLevel="2" collapsed="false">
      <c r="A131" s="16"/>
      <c r="B131" s="16"/>
      <c r="C131" s="16" t="s">
        <v>808</v>
      </c>
      <c r="D131" s="16"/>
      <c r="E131" s="16"/>
      <c r="F131" s="17" t="s">
        <v>807</v>
      </c>
    </row>
    <row r="132" customFormat="false" ht="15" hidden="false" customHeight="false" outlineLevel="2" collapsed="false">
      <c r="A132" s="16"/>
      <c r="B132" s="16"/>
      <c r="C132" s="16" t="s">
        <v>814</v>
      </c>
      <c r="D132" s="16"/>
      <c r="E132" s="16"/>
      <c r="F132" s="17" t="s">
        <v>813</v>
      </c>
    </row>
    <row r="133" customFormat="false" ht="15" hidden="false" customHeight="false" outlineLevel="2" collapsed="false">
      <c r="A133" s="16"/>
      <c r="B133" s="16"/>
      <c r="C133" s="16" t="s">
        <v>819</v>
      </c>
      <c r="D133" s="16"/>
      <c r="E133" s="16"/>
      <c r="F133" s="17" t="s">
        <v>818</v>
      </c>
    </row>
    <row r="134" customFormat="false" ht="15" hidden="false" customHeight="false" outlineLevel="2" collapsed="false">
      <c r="A134" s="16"/>
      <c r="B134" s="16"/>
      <c r="C134" s="16" t="s">
        <v>825</v>
      </c>
      <c r="D134" s="16"/>
      <c r="E134" s="16"/>
      <c r="F134" s="17" t="s">
        <v>824</v>
      </c>
    </row>
    <row r="135" customFormat="false" ht="15" hidden="false" customHeight="false" outlineLevel="2" collapsed="false">
      <c r="A135" s="16"/>
      <c r="B135" s="16"/>
      <c r="C135" s="16" t="s">
        <v>832</v>
      </c>
      <c r="D135" s="16"/>
      <c r="E135" s="16"/>
      <c r="F135" s="17" t="s">
        <v>831</v>
      </c>
    </row>
    <row r="136" customFormat="false" ht="15" hidden="false" customHeight="false" outlineLevel="2" collapsed="false">
      <c r="A136" s="16"/>
      <c r="B136" s="16"/>
      <c r="C136" s="16" t="s">
        <v>837</v>
      </c>
      <c r="D136" s="16"/>
      <c r="E136" s="16"/>
      <c r="F136" s="17" t="s">
        <v>836</v>
      </c>
    </row>
    <row r="137" customFormat="false" ht="15" hidden="false" customHeight="false" outlineLevel="3" collapsed="false">
      <c r="A137" s="16"/>
      <c r="B137" s="16"/>
      <c r="C137" s="16"/>
      <c r="D137" s="16" t="s">
        <v>844</v>
      </c>
      <c r="E137" s="16"/>
      <c r="F137" s="17" t="s">
        <v>843</v>
      </c>
    </row>
    <row r="138" customFormat="false" ht="15" hidden="false" customHeight="false" outlineLevel="2" collapsed="false">
      <c r="A138" s="16"/>
      <c r="B138" s="16"/>
      <c r="C138" s="16" t="s">
        <v>849</v>
      </c>
      <c r="D138" s="16"/>
      <c r="E138" s="16"/>
      <c r="F138" s="17" t="s">
        <v>848</v>
      </c>
    </row>
    <row r="139" customFormat="false" ht="15" hidden="false" customHeight="false" outlineLevel="2" collapsed="false">
      <c r="A139" s="16"/>
      <c r="B139" s="16"/>
      <c r="C139" s="16" t="s">
        <v>856</v>
      </c>
      <c r="D139" s="16"/>
      <c r="E139" s="16"/>
      <c r="F139" s="17" t="s">
        <v>855</v>
      </c>
    </row>
    <row r="140" customFormat="false" ht="15" hidden="false" customHeight="false" outlineLevel="1" collapsed="false">
      <c r="A140" s="16"/>
      <c r="B140" s="16" t="s">
        <v>862</v>
      </c>
      <c r="C140" s="16"/>
      <c r="D140" s="16"/>
      <c r="E140" s="16"/>
      <c r="F140" s="17" t="s">
        <v>861</v>
      </c>
    </row>
    <row r="141" customFormat="false" ht="15" hidden="false" customHeight="false" outlineLevel="2" collapsed="false">
      <c r="A141" s="16"/>
      <c r="B141" s="16"/>
      <c r="C141" s="16" t="s">
        <v>868</v>
      </c>
      <c r="D141" s="16"/>
      <c r="E141" s="16"/>
      <c r="F141" s="17" t="s">
        <v>867</v>
      </c>
    </row>
    <row r="142" customFormat="false" ht="15" hidden="false" customHeight="false" outlineLevel="2" collapsed="false">
      <c r="A142" s="16"/>
      <c r="B142" s="16"/>
      <c r="C142" s="16" t="s">
        <v>874</v>
      </c>
      <c r="D142" s="16"/>
      <c r="E142" s="16"/>
      <c r="F142" s="17" t="s">
        <v>873</v>
      </c>
    </row>
    <row r="143" customFormat="false" ht="15" hidden="false" customHeight="false" outlineLevel="2" collapsed="false">
      <c r="A143" s="16"/>
      <c r="B143" s="16"/>
      <c r="C143" s="16" t="s">
        <v>879</v>
      </c>
      <c r="D143" s="16"/>
      <c r="E143" s="16"/>
      <c r="F143" s="17" t="s">
        <v>878</v>
      </c>
    </row>
    <row r="144" customFormat="false" ht="15" hidden="false" customHeight="false" outlineLevel="2" collapsed="false">
      <c r="A144" s="16"/>
      <c r="B144" s="16"/>
      <c r="C144" s="16" t="s">
        <v>884</v>
      </c>
      <c r="D144" s="16"/>
      <c r="E144" s="16"/>
      <c r="F144" s="17" t="s">
        <v>883</v>
      </c>
    </row>
    <row r="145" customFormat="false" ht="15" hidden="false" customHeight="false" outlineLevel="2" collapsed="false">
      <c r="A145" s="16"/>
      <c r="B145" s="16"/>
      <c r="C145" s="16" t="s">
        <v>890</v>
      </c>
      <c r="D145" s="16"/>
      <c r="E145" s="16"/>
      <c r="F145" s="17" t="s">
        <v>889</v>
      </c>
    </row>
    <row r="146" customFormat="false" ht="15" hidden="false" customHeight="false" outlineLevel="2" collapsed="false">
      <c r="A146" s="16"/>
      <c r="B146" s="16"/>
      <c r="C146" s="16" t="s">
        <v>896</v>
      </c>
      <c r="D146" s="16"/>
      <c r="E146" s="16"/>
      <c r="F146" s="17" t="s">
        <v>895</v>
      </c>
    </row>
    <row r="147" customFormat="false" ht="15" hidden="false" customHeight="false" outlineLevel="2" collapsed="false">
      <c r="A147" s="16"/>
      <c r="B147" s="16"/>
      <c r="C147" s="16" t="s">
        <v>901</v>
      </c>
      <c r="D147" s="16"/>
      <c r="E147" s="16"/>
      <c r="F147" s="17" t="s">
        <v>900</v>
      </c>
    </row>
    <row r="148" customFormat="false" ht="15" hidden="false" customHeight="false" outlineLevel="1" collapsed="false">
      <c r="A148" s="16"/>
      <c r="B148" s="16" t="s">
        <v>906</v>
      </c>
      <c r="C148" s="16"/>
      <c r="D148" s="16"/>
      <c r="E148" s="16"/>
      <c r="F148" s="17" t="s">
        <v>905</v>
      </c>
    </row>
    <row r="149" customFormat="false" ht="15" hidden="false" customHeight="false" outlineLevel="2" collapsed="false">
      <c r="A149" s="16"/>
      <c r="B149" s="16"/>
      <c r="C149" s="16" t="s">
        <v>913</v>
      </c>
      <c r="D149" s="16"/>
      <c r="E149" s="16"/>
      <c r="F149" s="17" t="s">
        <v>912</v>
      </c>
    </row>
    <row r="150" customFormat="false" ht="15" hidden="false" customHeight="false" outlineLevel="2" collapsed="false">
      <c r="A150" s="16"/>
      <c r="B150" s="16"/>
      <c r="C150" s="16" t="s">
        <v>918</v>
      </c>
      <c r="D150" s="16"/>
      <c r="E150" s="16"/>
      <c r="F150" s="17" t="s">
        <v>917</v>
      </c>
    </row>
    <row r="151" customFormat="false" ht="15" hidden="false" customHeight="false" outlineLevel="2" collapsed="false">
      <c r="A151" s="16"/>
      <c r="B151" s="16"/>
      <c r="C151" s="16" t="s">
        <v>923</v>
      </c>
      <c r="D151" s="16"/>
      <c r="E151" s="16"/>
      <c r="F151" s="17" t="s">
        <v>922</v>
      </c>
    </row>
    <row r="152" customFormat="false" ht="15" hidden="false" customHeight="false" outlineLevel="1" collapsed="false">
      <c r="A152" s="16"/>
      <c r="B152" s="16" t="s">
        <v>928</v>
      </c>
      <c r="C152" s="16"/>
      <c r="D152" s="16"/>
      <c r="E152" s="16"/>
      <c r="F152" s="17" t="s">
        <v>927</v>
      </c>
    </row>
    <row r="153" customFormat="false" ht="15" hidden="false" customHeight="false" outlineLevel="2" collapsed="false">
      <c r="A153" s="16"/>
      <c r="B153" s="16"/>
      <c r="C153" s="16" t="s">
        <v>934</v>
      </c>
      <c r="D153" s="16"/>
      <c r="E153" s="16"/>
      <c r="F153" s="17" t="s">
        <v>933</v>
      </c>
    </row>
    <row r="154" customFormat="false" ht="15" hidden="false" customHeight="false" outlineLevel="3" collapsed="false">
      <c r="A154" s="16"/>
      <c r="B154" s="16"/>
      <c r="C154" s="16"/>
      <c r="D154" s="16" t="s">
        <v>940</v>
      </c>
      <c r="E154" s="16"/>
      <c r="F154" s="17" t="s">
        <v>939</v>
      </c>
    </row>
    <row r="155" customFormat="false" ht="15" hidden="false" customHeight="false" outlineLevel="3" collapsed="false">
      <c r="A155" s="16"/>
      <c r="B155" s="16"/>
      <c r="C155" s="16"/>
      <c r="D155" s="16" t="s">
        <v>947</v>
      </c>
      <c r="E155" s="16"/>
      <c r="F155" s="17" t="s">
        <v>946</v>
      </c>
    </row>
    <row r="156" customFormat="false" ht="15" hidden="false" customHeight="false" outlineLevel="2" collapsed="false">
      <c r="A156" s="16"/>
      <c r="B156" s="16"/>
      <c r="C156" s="16" t="s">
        <v>953</v>
      </c>
      <c r="D156" s="16"/>
      <c r="E156" s="16"/>
      <c r="F156" s="17" t="s">
        <v>952</v>
      </c>
    </row>
    <row r="157" customFormat="false" ht="15" hidden="false" customHeight="false" outlineLevel="3" collapsed="false">
      <c r="A157" s="16"/>
      <c r="B157" s="16"/>
      <c r="C157" s="16"/>
      <c r="D157" s="16" t="s">
        <v>959</v>
      </c>
      <c r="E157" s="16"/>
      <c r="F157" s="17" t="s">
        <v>958</v>
      </c>
    </row>
    <row r="158" customFormat="false" ht="15" hidden="false" customHeight="false" outlineLevel="2" collapsed="false">
      <c r="A158" s="16"/>
      <c r="B158" s="16"/>
      <c r="C158" s="16" t="s">
        <v>965</v>
      </c>
      <c r="D158" s="16"/>
      <c r="E158" s="16"/>
      <c r="F158" s="17" t="s">
        <v>964</v>
      </c>
    </row>
    <row r="159" customFormat="false" ht="15" hidden="false" customHeight="false" outlineLevel="2" collapsed="false">
      <c r="A159" s="16"/>
      <c r="B159" s="16"/>
      <c r="C159" s="16" t="s">
        <v>972</v>
      </c>
      <c r="D159" s="16"/>
      <c r="E159" s="16"/>
      <c r="F159" s="17" t="s">
        <v>971</v>
      </c>
    </row>
    <row r="160" customFormat="false" ht="15" hidden="false" customHeight="false" outlineLevel="2" collapsed="false">
      <c r="A160" s="16"/>
      <c r="B160" s="16"/>
      <c r="C160" s="16" t="s">
        <v>979</v>
      </c>
      <c r="D160" s="16"/>
      <c r="E160" s="16"/>
      <c r="F160" s="17" t="s">
        <v>978</v>
      </c>
    </row>
    <row r="161" customFormat="false" ht="15" hidden="false" customHeight="false" outlineLevel="1" collapsed="false">
      <c r="A161" s="16"/>
      <c r="B161" s="16" t="s">
        <v>986</v>
      </c>
      <c r="C161" s="16"/>
      <c r="D161" s="16"/>
      <c r="E161" s="16"/>
      <c r="F161" s="17" t="s">
        <v>985</v>
      </c>
    </row>
    <row r="162" customFormat="false" ht="15" hidden="false" customHeight="false" outlineLevel="2" collapsed="false">
      <c r="A162" s="16"/>
      <c r="B162" s="16"/>
      <c r="C162" s="16" t="s">
        <v>993</v>
      </c>
      <c r="D162" s="16"/>
      <c r="E162" s="16"/>
      <c r="F162" s="17" t="s">
        <v>992</v>
      </c>
    </row>
    <row r="163" customFormat="false" ht="15" hidden="false" customHeight="false" outlineLevel="2" collapsed="false">
      <c r="A163" s="16"/>
      <c r="B163" s="16"/>
      <c r="C163" s="16" t="s">
        <v>998</v>
      </c>
      <c r="D163" s="16"/>
      <c r="E163" s="16"/>
      <c r="F163" s="17" t="s">
        <v>997</v>
      </c>
    </row>
    <row r="164" customFormat="false" ht="15" hidden="false" customHeight="false" outlineLevel="2" collapsed="false">
      <c r="A164" s="16"/>
      <c r="B164" s="16"/>
      <c r="C164" s="16" t="s">
        <v>1003</v>
      </c>
      <c r="D164" s="16"/>
      <c r="E164" s="16"/>
      <c r="F164" s="17" t="s">
        <v>1002</v>
      </c>
    </row>
    <row r="165" customFormat="false" ht="15" hidden="false" customHeight="false" outlineLevel="2" collapsed="false">
      <c r="A165" s="16"/>
      <c r="B165" s="16"/>
      <c r="C165" s="16" t="s">
        <v>1008</v>
      </c>
      <c r="D165" s="16"/>
      <c r="E165" s="16"/>
      <c r="F165" s="17" t="s">
        <v>1007</v>
      </c>
    </row>
    <row r="166" customFormat="false" ht="15" hidden="false" customHeight="false" outlineLevel="1" collapsed="false">
      <c r="A166" s="16"/>
      <c r="B166" s="16" t="s">
        <v>1015</v>
      </c>
      <c r="C166" s="16"/>
      <c r="D166" s="16"/>
      <c r="E166" s="16"/>
      <c r="F166" s="17" t="s">
        <v>1014</v>
      </c>
    </row>
    <row r="167" customFormat="false" ht="15" hidden="false" customHeight="false" outlineLevel="1" collapsed="false">
      <c r="A167" s="16"/>
      <c r="B167" s="16" t="s">
        <v>1022</v>
      </c>
      <c r="C167" s="16"/>
      <c r="D167" s="16"/>
      <c r="E167" s="16"/>
      <c r="F167" s="17" t="s">
        <v>1021</v>
      </c>
    </row>
    <row r="168" customFormat="false" ht="15" hidden="false" customHeight="false" outlineLevel="0" collapsed="false">
      <c r="A168" s="14" t="s">
        <v>1029</v>
      </c>
      <c r="B168" s="14"/>
      <c r="C168" s="14"/>
      <c r="D168" s="14"/>
      <c r="E168" s="14"/>
      <c r="F168" s="15" t="s">
        <v>1028</v>
      </c>
    </row>
    <row r="169" customFormat="false" ht="15" hidden="false" customHeight="false" outlineLevel="1" collapsed="false">
      <c r="A169" s="16"/>
      <c r="B169" s="16" t="s">
        <v>1035</v>
      </c>
      <c r="C169" s="16"/>
      <c r="D169" s="16"/>
      <c r="E169" s="16"/>
      <c r="F169" s="17" t="s">
        <v>1034</v>
      </c>
    </row>
    <row r="170" customFormat="false" ht="15" hidden="false" customHeight="false" outlineLevel="2" collapsed="false">
      <c r="A170" s="16"/>
      <c r="B170" s="16"/>
      <c r="C170" s="16" t="s">
        <v>1040</v>
      </c>
      <c r="D170" s="16"/>
      <c r="E170" s="16"/>
      <c r="F170" s="17" t="s">
        <v>1039</v>
      </c>
    </row>
    <row r="171" customFormat="false" ht="15" hidden="false" customHeight="false" outlineLevel="2" collapsed="false">
      <c r="A171" s="16"/>
      <c r="B171" s="16"/>
      <c r="C171" s="16" t="s">
        <v>1047</v>
      </c>
      <c r="D171" s="16"/>
      <c r="E171" s="16"/>
      <c r="F171" s="17" t="s">
        <v>1046</v>
      </c>
    </row>
    <row r="172" customFormat="false" ht="15" hidden="false" customHeight="false" outlineLevel="2" collapsed="false">
      <c r="A172" s="16"/>
      <c r="B172" s="16"/>
      <c r="C172" s="16" t="s">
        <v>1054</v>
      </c>
      <c r="D172" s="16"/>
      <c r="E172" s="16"/>
      <c r="F172" s="17" t="s">
        <v>1053</v>
      </c>
    </row>
    <row r="173" customFormat="false" ht="15" hidden="false" customHeight="false" outlineLevel="2" collapsed="false">
      <c r="A173" s="16"/>
      <c r="B173" s="16"/>
      <c r="C173" s="16" t="s">
        <v>1061</v>
      </c>
      <c r="D173" s="16"/>
      <c r="E173" s="16"/>
      <c r="F173" s="17" t="s">
        <v>1060</v>
      </c>
    </row>
    <row r="174" customFormat="false" ht="15" hidden="false" customHeight="false" outlineLevel="2" collapsed="false">
      <c r="A174" s="16"/>
      <c r="B174" s="16"/>
      <c r="C174" s="16" t="s">
        <v>1067</v>
      </c>
      <c r="D174" s="16"/>
      <c r="E174" s="16"/>
      <c r="F174" s="17" t="s">
        <v>1066</v>
      </c>
    </row>
    <row r="175" customFormat="false" ht="15" hidden="false" customHeight="false" outlineLevel="1" collapsed="false">
      <c r="A175" s="16"/>
      <c r="B175" s="16" t="s">
        <v>1074</v>
      </c>
      <c r="C175" s="16"/>
      <c r="D175" s="16"/>
      <c r="E175" s="16"/>
      <c r="F175" s="17" t="s">
        <v>1073</v>
      </c>
    </row>
    <row r="176" customFormat="false" ht="15" hidden="false" customHeight="false" outlineLevel="2" collapsed="false">
      <c r="A176" s="16"/>
      <c r="B176" s="16"/>
      <c r="C176" s="16" t="s">
        <v>1081</v>
      </c>
      <c r="D176" s="16"/>
      <c r="E176" s="16"/>
      <c r="F176" s="17" t="s">
        <v>1080</v>
      </c>
    </row>
    <row r="177" customFormat="false" ht="15" hidden="false" customHeight="false" outlineLevel="3" collapsed="false">
      <c r="A177" s="16"/>
      <c r="B177" s="16"/>
      <c r="C177" s="16"/>
      <c r="D177" s="16" t="s">
        <v>1086</v>
      </c>
      <c r="E177" s="16"/>
      <c r="F177" s="17" t="s">
        <v>1085</v>
      </c>
    </row>
    <row r="178" customFormat="false" ht="15" hidden="false" customHeight="false" outlineLevel="3" collapsed="false">
      <c r="A178" s="16"/>
      <c r="B178" s="16"/>
      <c r="C178" s="16"/>
      <c r="D178" s="16" t="s">
        <v>1091</v>
      </c>
      <c r="E178" s="16"/>
      <c r="F178" s="17" t="s">
        <v>1090</v>
      </c>
    </row>
    <row r="179" customFormat="false" ht="15" hidden="false" customHeight="false" outlineLevel="2" collapsed="false">
      <c r="A179" s="16"/>
      <c r="B179" s="16"/>
      <c r="C179" s="16" t="s">
        <v>1098</v>
      </c>
      <c r="D179" s="16"/>
      <c r="E179" s="16"/>
      <c r="F179" s="17" t="s">
        <v>1097</v>
      </c>
    </row>
    <row r="180" customFormat="false" ht="15" hidden="false" customHeight="false" outlineLevel="2" collapsed="false">
      <c r="A180" s="16"/>
      <c r="B180" s="16"/>
      <c r="C180" s="16" t="s">
        <v>1103</v>
      </c>
      <c r="D180" s="16"/>
      <c r="E180" s="16"/>
      <c r="F180" s="17" t="s">
        <v>1102</v>
      </c>
    </row>
    <row r="181" customFormat="false" ht="15" hidden="false" customHeight="false" outlineLevel="2" collapsed="false">
      <c r="A181" s="16"/>
      <c r="B181" s="16"/>
      <c r="C181" s="16" t="s">
        <v>1108</v>
      </c>
      <c r="D181" s="16"/>
      <c r="E181" s="16"/>
      <c r="F181" s="17" t="s">
        <v>1107</v>
      </c>
    </row>
    <row r="182" customFormat="false" ht="15" hidden="false" customHeight="false" outlineLevel="2" collapsed="false">
      <c r="A182" s="16"/>
      <c r="B182" s="16"/>
      <c r="C182" s="16" t="s">
        <v>1114</v>
      </c>
      <c r="D182" s="16"/>
      <c r="E182" s="16"/>
      <c r="F182" s="17" t="s">
        <v>1113</v>
      </c>
    </row>
    <row r="183" customFormat="false" ht="15" hidden="false" customHeight="false" outlineLevel="1" collapsed="false">
      <c r="A183" s="16"/>
      <c r="B183" s="16" t="s">
        <v>1119</v>
      </c>
      <c r="C183" s="16"/>
      <c r="D183" s="16"/>
      <c r="E183" s="16"/>
      <c r="F183" s="17" t="s">
        <v>1118</v>
      </c>
    </row>
    <row r="184" customFormat="false" ht="15" hidden="false" customHeight="false" outlineLevel="2" collapsed="false">
      <c r="A184" s="16"/>
      <c r="B184" s="16"/>
      <c r="C184" s="16" t="s">
        <v>1124</v>
      </c>
      <c r="D184" s="16"/>
      <c r="E184" s="16"/>
      <c r="F184" s="17" t="s">
        <v>1123</v>
      </c>
    </row>
    <row r="185" customFormat="false" ht="15" hidden="false" customHeight="false" outlineLevel="2" collapsed="false">
      <c r="A185" s="16"/>
      <c r="B185" s="16"/>
      <c r="C185" s="16" t="s">
        <v>1129</v>
      </c>
      <c r="D185" s="16"/>
      <c r="E185" s="16"/>
      <c r="F185" s="17" t="s">
        <v>1128</v>
      </c>
    </row>
    <row r="186" customFormat="false" ht="15" hidden="false" customHeight="false" outlineLevel="2" collapsed="false">
      <c r="A186" s="16"/>
      <c r="B186" s="16"/>
      <c r="C186" s="16" t="s">
        <v>1136</v>
      </c>
      <c r="D186" s="16"/>
      <c r="E186" s="16"/>
      <c r="F186" s="17" t="s">
        <v>1135</v>
      </c>
    </row>
    <row r="187" customFormat="false" ht="15" hidden="false" customHeight="false" outlineLevel="2" collapsed="false">
      <c r="A187" s="16"/>
      <c r="B187" s="16"/>
      <c r="C187" s="16" t="s">
        <v>1143</v>
      </c>
      <c r="D187" s="16"/>
      <c r="E187" s="16"/>
      <c r="F187" s="17" t="s">
        <v>1142</v>
      </c>
    </row>
    <row r="188" customFormat="false" ht="15" hidden="false" customHeight="false" outlineLevel="3" collapsed="false">
      <c r="A188" s="16"/>
      <c r="B188" s="16"/>
      <c r="C188" s="16"/>
      <c r="D188" s="16" t="s">
        <v>1150</v>
      </c>
      <c r="E188" s="16"/>
      <c r="F188" s="17" t="s">
        <v>1149</v>
      </c>
    </row>
    <row r="189" customFormat="false" ht="15" hidden="false" customHeight="false" outlineLevel="3" collapsed="false">
      <c r="A189" s="16"/>
      <c r="B189" s="16"/>
      <c r="C189" s="16"/>
      <c r="D189" s="16" t="s">
        <v>1155</v>
      </c>
      <c r="E189" s="16"/>
      <c r="F189" s="17" t="s">
        <v>1154</v>
      </c>
    </row>
    <row r="190" customFormat="false" ht="15" hidden="false" customHeight="false" outlineLevel="2" collapsed="false">
      <c r="A190" s="16"/>
      <c r="B190" s="16"/>
      <c r="C190" s="16" t="s">
        <v>1161</v>
      </c>
      <c r="D190" s="16"/>
      <c r="E190" s="16"/>
      <c r="F190" s="17" t="s">
        <v>1160</v>
      </c>
    </row>
    <row r="191" customFormat="false" ht="15" hidden="false" customHeight="false" outlineLevel="2" collapsed="false">
      <c r="A191" s="16"/>
      <c r="B191" s="16"/>
      <c r="C191" s="16" t="s">
        <v>1166</v>
      </c>
      <c r="D191" s="16"/>
      <c r="E191" s="16"/>
      <c r="F191" s="17" t="s">
        <v>1165</v>
      </c>
    </row>
    <row r="192" customFormat="false" ht="15" hidden="false" customHeight="false" outlineLevel="2" collapsed="false">
      <c r="A192" s="16"/>
      <c r="B192" s="16"/>
      <c r="C192" s="16" t="s">
        <v>1171</v>
      </c>
      <c r="D192" s="16"/>
      <c r="E192" s="16"/>
      <c r="F192" s="17" t="s">
        <v>1170</v>
      </c>
    </row>
    <row r="193" customFormat="false" ht="15" hidden="false" customHeight="false" outlineLevel="1" collapsed="false">
      <c r="A193" s="16"/>
      <c r="B193" s="16" t="s">
        <v>1176</v>
      </c>
      <c r="C193" s="16"/>
      <c r="D193" s="16"/>
      <c r="E193" s="16"/>
      <c r="F193" s="17" t="s">
        <v>1175</v>
      </c>
    </row>
    <row r="194" customFormat="false" ht="15" hidden="false" customHeight="false" outlineLevel="2" collapsed="false">
      <c r="A194" s="16"/>
      <c r="B194" s="16"/>
      <c r="C194" s="16" t="s">
        <v>1183</v>
      </c>
      <c r="D194" s="16"/>
      <c r="E194" s="16"/>
      <c r="F194" s="17" t="s">
        <v>1182</v>
      </c>
    </row>
    <row r="195" customFormat="false" ht="15" hidden="false" customHeight="false" outlineLevel="2" collapsed="false">
      <c r="A195" s="16"/>
      <c r="B195" s="16"/>
      <c r="C195" s="16" t="s">
        <v>1188</v>
      </c>
      <c r="D195" s="16"/>
      <c r="E195" s="16"/>
      <c r="F195" s="17" t="s">
        <v>1187</v>
      </c>
    </row>
    <row r="196" customFormat="false" ht="15" hidden="false" customHeight="false" outlineLevel="2" collapsed="false">
      <c r="A196" s="16"/>
      <c r="B196" s="16"/>
      <c r="C196" s="16" t="s">
        <v>1194</v>
      </c>
      <c r="D196" s="16"/>
      <c r="E196" s="16"/>
      <c r="F196" s="17" t="s">
        <v>1193</v>
      </c>
    </row>
    <row r="197" customFormat="false" ht="15" hidden="false" customHeight="false" outlineLevel="2" collapsed="false">
      <c r="A197" s="16"/>
      <c r="B197" s="16"/>
      <c r="C197" s="16" t="s">
        <v>1199</v>
      </c>
      <c r="D197" s="16"/>
      <c r="E197" s="16"/>
      <c r="F197" s="17" t="s">
        <v>1198</v>
      </c>
    </row>
    <row r="198" customFormat="false" ht="15" hidden="false" customHeight="false" outlineLevel="2" collapsed="false">
      <c r="A198" s="16"/>
      <c r="B198" s="16"/>
      <c r="C198" s="16" t="s">
        <v>1205</v>
      </c>
      <c r="D198" s="16"/>
      <c r="E198" s="16"/>
      <c r="F198" s="17" t="s">
        <v>1204</v>
      </c>
    </row>
    <row r="199" customFormat="false" ht="15" hidden="false" customHeight="false" outlineLevel="2" collapsed="false">
      <c r="A199" s="16"/>
      <c r="B199" s="16"/>
      <c r="C199" s="16" t="s">
        <v>1211</v>
      </c>
      <c r="D199" s="16"/>
      <c r="E199" s="16"/>
      <c r="F199" s="17" t="s">
        <v>1210</v>
      </c>
    </row>
    <row r="200" customFormat="false" ht="15" hidden="false" customHeight="false" outlineLevel="2" collapsed="false">
      <c r="A200" s="16"/>
      <c r="B200" s="16"/>
      <c r="C200" s="16" t="s">
        <v>1217</v>
      </c>
      <c r="D200" s="16"/>
      <c r="E200" s="16"/>
      <c r="F200" s="17" t="s">
        <v>1216</v>
      </c>
    </row>
    <row r="201" customFormat="false" ht="15" hidden="false" customHeight="false" outlineLevel="3" collapsed="false">
      <c r="A201" s="16"/>
      <c r="B201" s="16"/>
      <c r="C201" s="16"/>
      <c r="D201" s="16" t="s">
        <v>1222</v>
      </c>
      <c r="E201" s="16"/>
      <c r="F201" s="17" t="s">
        <v>1221</v>
      </c>
    </row>
    <row r="202" customFormat="false" ht="15" hidden="false" customHeight="false" outlineLevel="3" collapsed="false">
      <c r="A202" s="16"/>
      <c r="B202" s="16"/>
      <c r="C202" s="16"/>
      <c r="D202" s="16" t="s">
        <v>1229</v>
      </c>
      <c r="E202" s="16"/>
      <c r="F202" s="17" t="s">
        <v>1228</v>
      </c>
    </row>
    <row r="203" customFormat="false" ht="15" hidden="false" customHeight="false" outlineLevel="3" collapsed="false">
      <c r="A203" s="16"/>
      <c r="B203" s="16"/>
      <c r="C203" s="16"/>
      <c r="D203" s="16" t="s">
        <v>1235</v>
      </c>
      <c r="E203" s="16"/>
      <c r="F203" s="17" t="s">
        <v>1234</v>
      </c>
    </row>
    <row r="204" customFormat="false" ht="15" hidden="false" customHeight="false" outlineLevel="3" collapsed="false">
      <c r="A204" s="16"/>
      <c r="B204" s="16"/>
      <c r="C204" s="16"/>
      <c r="D204" s="16" t="s">
        <v>1241</v>
      </c>
      <c r="E204" s="16"/>
      <c r="F204" s="17" t="s">
        <v>1240</v>
      </c>
    </row>
    <row r="205" customFormat="false" ht="15" hidden="false" customHeight="false" outlineLevel="2" collapsed="false">
      <c r="A205" s="16"/>
      <c r="B205" s="16"/>
      <c r="C205" s="16" t="s">
        <v>1247</v>
      </c>
      <c r="D205" s="16"/>
      <c r="E205" s="16"/>
      <c r="F205" s="17" t="s">
        <v>1246</v>
      </c>
    </row>
    <row r="206" customFormat="false" ht="15" hidden="false" customHeight="false" outlineLevel="2" collapsed="false">
      <c r="A206" s="16"/>
      <c r="B206" s="16"/>
      <c r="C206" s="16" t="s">
        <v>1253</v>
      </c>
      <c r="D206" s="16"/>
      <c r="E206" s="16"/>
      <c r="F206" s="17" t="s">
        <v>1252</v>
      </c>
    </row>
    <row r="207" customFormat="false" ht="15" hidden="false" customHeight="false" outlineLevel="1" collapsed="false">
      <c r="A207" s="16"/>
      <c r="B207" s="16" t="s">
        <v>1259</v>
      </c>
      <c r="C207" s="16"/>
      <c r="D207" s="16"/>
      <c r="E207" s="16"/>
      <c r="F207" s="17" t="s">
        <v>1258</v>
      </c>
    </row>
    <row r="208" customFormat="false" ht="15" hidden="false" customHeight="false" outlineLevel="2" collapsed="false">
      <c r="A208" s="16"/>
      <c r="B208" s="16"/>
      <c r="C208" s="16" t="s">
        <v>1264</v>
      </c>
      <c r="D208" s="16"/>
      <c r="E208" s="16"/>
      <c r="F208" s="17" t="s">
        <v>1263</v>
      </c>
    </row>
    <row r="209" customFormat="false" ht="15" hidden="false" customHeight="false" outlineLevel="2" collapsed="false">
      <c r="A209" s="16"/>
      <c r="B209" s="16"/>
      <c r="C209" s="16" t="s">
        <v>1269</v>
      </c>
      <c r="D209" s="16"/>
      <c r="E209" s="16"/>
      <c r="F209" s="17" t="s">
        <v>1268</v>
      </c>
    </row>
    <row r="210" customFormat="false" ht="15" hidden="false" customHeight="false" outlineLevel="1" collapsed="false">
      <c r="A210" s="16"/>
      <c r="B210" s="16" t="s">
        <v>1275</v>
      </c>
      <c r="C210" s="16"/>
      <c r="D210" s="16"/>
      <c r="E210" s="16"/>
      <c r="F210" s="17" t="s">
        <v>1274</v>
      </c>
    </row>
    <row r="211" customFormat="false" ht="15" hidden="false" customHeight="false" outlineLevel="0" collapsed="false">
      <c r="A211" s="14" t="s">
        <v>1282</v>
      </c>
      <c r="B211" s="14"/>
      <c r="C211" s="14"/>
      <c r="D211" s="14"/>
      <c r="E211" s="14"/>
      <c r="F211" s="15" t="s">
        <v>1281</v>
      </c>
    </row>
    <row r="212" customFormat="false" ht="15" hidden="false" customHeight="false" outlineLevel="1" collapsed="false">
      <c r="A212" s="16"/>
      <c r="B212" s="16" t="s">
        <v>1288</v>
      </c>
      <c r="C212" s="16"/>
      <c r="D212" s="16"/>
      <c r="E212" s="16"/>
      <c r="F212" s="17" t="s">
        <v>1287</v>
      </c>
    </row>
    <row r="213" customFormat="false" ht="15" hidden="false" customHeight="false" outlineLevel="2" collapsed="false">
      <c r="A213" s="16"/>
      <c r="B213" s="16"/>
      <c r="C213" s="16" t="s">
        <v>1295</v>
      </c>
      <c r="D213" s="16"/>
      <c r="E213" s="16"/>
      <c r="F213" s="17" t="s">
        <v>1294</v>
      </c>
    </row>
    <row r="214" customFormat="false" ht="15" hidden="false" customHeight="false" outlineLevel="3" collapsed="false">
      <c r="A214" s="16"/>
      <c r="B214" s="16"/>
      <c r="C214" s="16"/>
      <c r="D214" s="16" t="s">
        <v>1302</v>
      </c>
      <c r="E214" s="16"/>
      <c r="F214" s="17" t="s">
        <v>1301</v>
      </c>
    </row>
    <row r="215" customFormat="false" ht="15" hidden="false" customHeight="false" outlineLevel="3" collapsed="false">
      <c r="A215" s="16"/>
      <c r="B215" s="16"/>
      <c r="C215" s="16"/>
      <c r="D215" s="16" t="s">
        <v>1308</v>
      </c>
      <c r="E215" s="16"/>
      <c r="F215" s="17" t="s">
        <v>1307</v>
      </c>
    </row>
    <row r="216" customFormat="false" ht="15" hidden="false" customHeight="false" outlineLevel="3" collapsed="false">
      <c r="A216" s="16"/>
      <c r="B216" s="16"/>
      <c r="C216" s="16"/>
      <c r="D216" s="16" t="s">
        <v>1314</v>
      </c>
      <c r="E216" s="16"/>
      <c r="F216" s="17" t="s">
        <v>1313</v>
      </c>
    </row>
    <row r="217" customFormat="false" ht="15" hidden="false" customHeight="false" outlineLevel="3" collapsed="false">
      <c r="A217" s="16"/>
      <c r="B217" s="16"/>
      <c r="C217" s="16"/>
      <c r="D217" s="16" t="s">
        <v>1319</v>
      </c>
      <c r="E217" s="16"/>
      <c r="F217" s="17" t="s">
        <v>1318</v>
      </c>
    </row>
    <row r="218" customFormat="false" ht="15" hidden="false" customHeight="false" outlineLevel="2" collapsed="false">
      <c r="A218" s="16"/>
      <c r="B218" s="16"/>
      <c r="C218" s="16" t="s">
        <v>1326</v>
      </c>
      <c r="D218" s="16"/>
      <c r="E218" s="16"/>
      <c r="F218" s="17" t="s">
        <v>1325</v>
      </c>
    </row>
    <row r="219" customFormat="false" ht="15" hidden="false" customHeight="false" outlineLevel="3" collapsed="false">
      <c r="A219" s="16"/>
      <c r="B219" s="16"/>
      <c r="C219" s="16"/>
      <c r="D219" s="16" t="s">
        <v>1332</v>
      </c>
      <c r="E219" s="16"/>
      <c r="F219" s="17" t="s">
        <v>1331</v>
      </c>
    </row>
    <row r="220" customFormat="false" ht="15" hidden="false" customHeight="false" outlineLevel="3" collapsed="false">
      <c r="A220" s="16"/>
      <c r="B220" s="16"/>
      <c r="C220" s="16"/>
      <c r="D220" s="16" t="s">
        <v>1337</v>
      </c>
      <c r="E220" s="16"/>
      <c r="F220" s="17" t="s">
        <v>1336</v>
      </c>
    </row>
    <row r="221" customFormat="false" ht="15" hidden="false" customHeight="false" outlineLevel="3" collapsed="false">
      <c r="A221" s="16"/>
      <c r="B221" s="16"/>
      <c r="C221" s="16"/>
      <c r="D221" s="16" t="s">
        <v>1343</v>
      </c>
      <c r="E221" s="16"/>
      <c r="F221" s="17" t="s">
        <v>1342</v>
      </c>
    </row>
    <row r="222" customFormat="false" ht="15" hidden="false" customHeight="false" outlineLevel="2" collapsed="false">
      <c r="A222" s="16"/>
      <c r="B222" s="16"/>
      <c r="C222" s="16" t="s">
        <v>1350</v>
      </c>
      <c r="D222" s="16"/>
      <c r="E222" s="16"/>
      <c r="F222" s="17" t="s">
        <v>1349</v>
      </c>
    </row>
    <row r="223" customFormat="false" ht="15" hidden="false" customHeight="false" outlineLevel="3" collapsed="false">
      <c r="A223" s="16"/>
      <c r="B223" s="16"/>
      <c r="C223" s="16"/>
      <c r="D223" s="16" t="s">
        <v>1355</v>
      </c>
      <c r="E223" s="16"/>
      <c r="F223" s="17" t="s">
        <v>1354</v>
      </c>
    </row>
    <row r="224" customFormat="false" ht="15" hidden="false" customHeight="false" outlineLevel="3" collapsed="false">
      <c r="A224" s="16"/>
      <c r="B224" s="16"/>
      <c r="C224" s="16"/>
      <c r="D224" s="16" t="s">
        <v>1362</v>
      </c>
      <c r="E224" s="16"/>
      <c r="F224" s="17" t="s">
        <v>1361</v>
      </c>
    </row>
    <row r="225" customFormat="false" ht="15" hidden="false" customHeight="false" outlineLevel="3" collapsed="false">
      <c r="A225" s="16"/>
      <c r="B225" s="16"/>
      <c r="C225" s="16"/>
      <c r="D225" s="16" t="s">
        <v>1368</v>
      </c>
      <c r="E225" s="16"/>
      <c r="F225" s="17" t="s">
        <v>1367</v>
      </c>
    </row>
    <row r="226" customFormat="false" ht="15" hidden="false" customHeight="false" outlineLevel="2" collapsed="false">
      <c r="A226" s="16"/>
      <c r="B226" s="16"/>
      <c r="C226" s="16" t="s">
        <v>1374</v>
      </c>
      <c r="D226" s="16"/>
      <c r="E226" s="16"/>
      <c r="F226" s="17" t="s">
        <v>1373</v>
      </c>
    </row>
    <row r="227" customFormat="false" ht="15" hidden="false" customHeight="false" outlineLevel="3" collapsed="false">
      <c r="A227" s="16"/>
      <c r="B227" s="16"/>
      <c r="C227" s="16"/>
      <c r="D227" s="16" t="s">
        <v>1380</v>
      </c>
      <c r="E227" s="16"/>
      <c r="F227" s="17" t="s">
        <v>1379</v>
      </c>
    </row>
    <row r="228" customFormat="false" ht="15" hidden="false" customHeight="false" outlineLevel="3" collapsed="false">
      <c r="A228" s="16"/>
      <c r="B228" s="16"/>
      <c r="C228" s="16"/>
      <c r="D228" s="16" t="s">
        <v>1387</v>
      </c>
      <c r="E228" s="16"/>
      <c r="F228" s="17" t="s">
        <v>1386</v>
      </c>
    </row>
    <row r="229" customFormat="false" ht="15" hidden="false" customHeight="false" outlineLevel="3" collapsed="false">
      <c r="A229" s="16"/>
      <c r="B229" s="16"/>
      <c r="C229" s="16"/>
      <c r="D229" s="16" t="s">
        <v>1392</v>
      </c>
      <c r="E229" s="16"/>
      <c r="F229" s="17" t="s">
        <v>1391</v>
      </c>
    </row>
    <row r="230" customFormat="false" ht="15" hidden="false" customHeight="false" outlineLevel="3" collapsed="false">
      <c r="A230" s="16"/>
      <c r="B230" s="16"/>
      <c r="C230" s="16"/>
      <c r="D230" s="16" t="s">
        <v>1398</v>
      </c>
      <c r="E230" s="16"/>
      <c r="F230" s="17" t="s">
        <v>1397</v>
      </c>
    </row>
    <row r="231" customFormat="false" ht="15" hidden="false" customHeight="false" outlineLevel="3" collapsed="false">
      <c r="A231" s="16"/>
      <c r="B231" s="16"/>
      <c r="C231" s="16"/>
      <c r="D231" s="16" t="s">
        <v>1404</v>
      </c>
      <c r="E231" s="16"/>
      <c r="F231" s="17" t="s">
        <v>1403</v>
      </c>
    </row>
    <row r="232" customFormat="false" ht="15" hidden="false" customHeight="false" outlineLevel="3" collapsed="false">
      <c r="A232" s="16"/>
      <c r="B232" s="16"/>
      <c r="C232" s="16"/>
      <c r="D232" s="16" t="s">
        <v>1410</v>
      </c>
      <c r="E232" s="16"/>
      <c r="F232" s="17" t="s">
        <v>1409</v>
      </c>
    </row>
    <row r="233" customFormat="false" ht="15" hidden="false" customHeight="false" outlineLevel="3" collapsed="false">
      <c r="A233" s="16"/>
      <c r="B233" s="16"/>
      <c r="C233" s="16"/>
      <c r="D233" s="16" t="s">
        <v>1416</v>
      </c>
      <c r="E233" s="16"/>
      <c r="F233" s="17" t="s">
        <v>1415</v>
      </c>
    </row>
    <row r="234" customFormat="false" ht="15" hidden="false" customHeight="false" outlineLevel="2" collapsed="false">
      <c r="A234" s="16"/>
      <c r="B234" s="16"/>
      <c r="C234" s="16" t="s">
        <v>1423</v>
      </c>
      <c r="D234" s="16"/>
      <c r="E234" s="16"/>
      <c r="F234" s="17" t="s">
        <v>1422</v>
      </c>
    </row>
    <row r="235" customFormat="false" ht="15" hidden="false" customHeight="false" outlineLevel="2" collapsed="false">
      <c r="A235" s="16"/>
      <c r="B235" s="16"/>
      <c r="C235" s="16" t="s">
        <v>1430</v>
      </c>
      <c r="D235" s="16"/>
      <c r="E235" s="16"/>
      <c r="F235" s="17" t="s">
        <v>1429</v>
      </c>
    </row>
    <row r="236" customFormat="false" ht="15" hidden="false" customHeight="false" outlineLevel="2" collapsed="false">
      <c r="A236" s="16"/>
      <c r="B236" s="16"/>
      <c r="C236" s="16" t="s">
        <v>1437</v>
      </c>
      <c r="D236" s="16"/>
      <c r="E236" s="16"/>
      <c r="F236" s="17" t="s">
        <v>1436</v>
      </c>
    </row>
    <row r="237" customFormat="false" ht="15" hidden="false" customHeight="false" outlineLevel="2" collapsed="false">
      <c r="A237" s="16"/>
      <c r="B237" s="16"/>
      <c r="C237" s="16" t="s">
        <v>1443</v>
      </c>
      <c r="D237" s="16"/>
      <c r="E237" s="16"/>
      <c r="F237" s="17" t="s">
        <v>1442</v>
      </c>
    </row>
    <row r="238" customFormat="false" ht="15" hidden="false" customHeight="false" outlineLevel="1" collapsed="false">
      <c r="A238" s="16"/>
      <c r="B238" s="16" t="s">
        <v>1450</v>
      </c>
      <c r="C238" s="16"/>
      <c r="D238" s="16"/>
      <c r="E238" s="16"/>
      <c r="F238" s="17" t="s">
        <v>1449</v>
      </c>
    </row>
    <row r="239" customFormat="false" ht="15" hidden="false" customHeight="false" outlineLevel="1" collapsed="false">
      <c r="A239" s="16"/>
      <c r="B239" s="16" t="s">
        <v>1456</v>
      </c>
      <c r="C239" s="16"/>
      <c r="D239" s="16"/>
      <c r="E239" s="16"/>
      <c r="F239" s="17" t="s">
        <v>1455</v>
      </c>
    </row>
    <row r="240" customFormat="false" ht="15" hidden="false" customHeight="false" outlineLevel="2" collapsed="false">
      <c r="A240" s="16"/>
      <c r="B240" s="16"/>
      <c r="C240" s="16" t="s">
        <v>1461</v>
      </c>
      <c r="D240" s="16"/>
      <c r="E240" s="16"/>
      <c r="F240" s="17" t="s">
        <v>1460</v>
      </c>
    </row>
    <row r="241" customFormat="false" ht="15" hidden="false" customHeight="false" outlineLevel="2" collapsed="false">
      <c r="A241" s="16"/>
      <c r="B241" s="16"/>
      <c r="C241" s="16" t="s">
        <v>1466</v>
      </c>
      <c r="D241" s="16"/>
      <c r="E241" s="16"/>
      <c r="F241" s="17" t="s">
        <v>1465</v>
      </c>
    </row>
    <row r="242" customFormat="false" ht="15" hidden="false" customHeight="false" outlineLevel="2" collapsed="false">
      <c r="A242" s="16"/>
      <c r="B242" s="16"/>
      <c r="C242" s="16" t="s">
        <v>1471</v>
      </c>
      <c r="D242" s="16"/>
      <c r="E242" s="16"/>
      <c r="F242" s="17" t="s">
        <v>1470</v>
      </c>
    </row>
    <row r="243" customFormat="false" ht="15" hidden="false" customHeight="false" outlineLevel="1" collapsed="false">
      <c r="A243" s="16"/>
      <c r="B243" s="16" t="s">
        <v>1476</v>
      </c>
      <c r="C243" s="16"/>
      <c r="D243" s="16"/>
      <c r="E243" s="16"/>
      <c r="F243" s="17" t="s">
        <v>1475</v>
      </c>
    </row>
    <row r="244" customFormat="false" ht="15" hidden="false" customHeight="false" outlineLevel="2" collapsed="false">
      <c r="A244" s="16"/>
      <c r="B244" s="16"/>
      <c r="C244" s="16" t="s">
        <v>1483</v>
      </c>
      <c r="D244" s="16"/>
      <c r="E244" s="16"/>
      <c r="F244" s="17" t="s">
        <v>1482</v>
      </c>
    </row>
    <row r="245" customFormat="false" ht="15" hidden="false" customHeight="false" outlineLevel="2" collapsed="false">
      <c r="A245" s="16"/>
      <c r="B245" s="16"/>
      <c r="C245" s="16" t="s">
        <v>1489</v>
      </c>
      <c r="D245" s="16"/>
      <c r="E245" s="16"/>
      <c r="F245" s="17" t="s">
        <v>1488</v>
      </c>
    </row>
    <row r="246" customFormat="false" ht="15" hidden="false" customHeight="false" outlineLevel="2" collapsed="false">
      <c r="A246" s="16"/>
      <c r="B246" s="16"/>
      <c r="C246" s="16" t="s">
        <v>1494</v>
      </c>
      <c r="D246" s="16"/>
      <c r="E246" s="16"/>
      <c r="F246" s="17" t="s">
        <v>1493</v>
      </c>
    </row>
    <row r="247" customFormat="false" ht="15" hidden="false" customHeight="false" outlineLevel="3" collapsed="false">
      <c r="A247" s="16"/>
      <c r="B247" s="16"/>
      <c r="C247" s="16"/>
      <c r="D247" s="16" t="s">
        <v>1501</v>
      </c>
      <c r="E247" s="16"/>
      <c r="F247" s="17" t="s">
        <v>1500</v>
      </c>
    </row>
    <row r="248" customFormat="false" ht="15" hidden="false" customHeight="false" outlineLevel="3" collapsed="false">
      <c r="A248" s="16"/>
      <c r="B248" s="16"/>
      <c r="C248" s="16"/>
      <c r="D248" s="16" t="s">
        <v>1506</v>
      </c>
      <c r="E248" s="16"/>
      <c r="F248" s="17" t="s">
        <v>1505</v>
      </c>
    </row>
    <row r="249" customFormat="false" ht="15" hidden="false" customHeight="false" outlineLevel="3" collapsed="false">
      <c r="A249" s="16"/>
      <c r="B249" s="16"/>
      <c r="C249" s="16"/>
      <c r="D249" s="16" t="s">
        <v>1511</v>
      </c>
      <c r="E249" s="16"/>
      <c r="F249" s="17" t="s">
        <v>1510</v>
      </c>
    </row>
    <row r="250" customFormat="false" ht="15" hidden="false" customHeight="false" outlineLevel="3" collapsed="false">
      <c r="A250" s="16"/>
      <c r="B250" s="16"/>
      <c r="C250" s="16"/>
      <c r="D250" s="16" t="s">
        <v>1516</v>
      </c>
      <c r="E250" s="16"/>
      <c r="F250" s="17" t="s">
        <v>1515</v>
      </c>
    </row>
    <row r="251" customFormat="false" ht="15" hidden="false" customHeight="false" outlineLevel="2" collapsed="false">
      <c r="A251" s="16"/>
      <c r="B251" s="16"/>
      <c r="C251" s="16" t="s">
        <v>1521</v>
      </c>
      <c r="D251" s="16"/>
      <c r="E251" s="16"/>
      <c r="F251" s="17" t="s">
        <v>1520</v>
      </c>
    </row>
    <row r="252" customFormat="false" ht="15" hidden="false" customHeight="false" outlineLevel="3" collapsed="false">
      <c r="A252" s="16"/>
      <c r="B252" s="16"/>
      <c r="C252" s="16"/>
      <c r="D252" s="16" t="s">
        <v>1527</v>
      </c>
      <c r="E252" s="16"/>
      <c r="F252" s="17" t="s">
        <v>1526</v>
      </c>
    </row>
    <row r="253" customFormat="false" ht="15" hidden="false" customHeight="false" outlineLevel="3" collapsed="false">
      <c r="A253" s="16"/>
      <c r="B253" s="16"/>
      <c r="C253" s="16"/>
      <c r="D253" s="16" t="s">
        <v>1532</v>
      </c>
      <c r="E253" s="16"/>
      <c r="F253" s="17" t="s">
        <v>1531</v>
      </c>
    </row>
    <row r="254" customFormat="false" ht="15" hidden="false" customHeight="false" outlineLevel="2" collapsed="false">
      <c r="A254" s="16"/>
      <c r="B254" s="16"/>
      <c r="C254" s="16" t="s">
        <v>1538</v>
      </c>
      <c r="D254" s="16"/>
      <c r="E254" s="16"/>
      <c r="F254" s="17" t="s">
        <v>1537</v>
      </c>
    </row>
    <row r="255" customFormat="false" ht="15" hidden="false" customHeight="false" outlineLevel="2" collapsed="false">
      <c r="A255" s="16"/>
      <c r="B255" s="16"/>
      <c r="C255" s="16" t="s">
        <v>1545</v>
      </c>
      <c r="D255" s="16"/>
      <c r="E255" s="16"/>
      <c r="F255" s="17" t="s">
        <v>1544</v>
      </c>
    </row>
    <row r="256" customFormat="false" ht="15" hidden="false" customHeight="false" outlineLevel="0" collapsed="false">
      <c r="A256" s="14" t="s">
        <v>1551</v>
      </c>
      <c r="B256" s="14"/>
      <c r="C256" s="14"/>
      <c r="D256" s="14"/>
      <c r="E256" s="14"/>
      <c r="F256" s="15" t="s">
        <v>1550</v>
      </c>
    </row>
    <row r="257" customFormat="false" ht="15" hidden="false" customHeight="false" outlineLevel="1" collapsed="false">
      <c r="A257" s="16"/>
      <c r="B257" s="16" t="s">
        <v>1557</v>
      </c>
      <c r="C257" s="16"/>
      <c r="D257" s="16"/>
      <c r="E257" s="16"/>
      <c r="F257" s="17" t="s">
        <v>1556</v>
      </c>
    </row>
    <row r="258" customFormat="false" ht="15" hidden="false" customHeight="false" outlineLevel="2" collapsed="false">
      <c r="A258" s="16"/>
      <c r="B258" s="16"/>
      <c r="C258" s="16" t="s">
        <v>1562</v>
      </c>
      <c r="D258" s="16"/>
      <c r="E258" s="16"/>
      <c r="F258" s="17" t="s">
        <v>1561</v>
      </c>
    </row>
    <row r="259" customFormat="false" ht="15" hidden="false" customHeight="false" outlineLevel="2" collapsed="false">
      <c r="A259" s="16"/>
      <c r="B259" s="16"/>
      <c r="C259" s="16" t="s">
        <v>1568</v>
      </c>
      <c r="D259" s="16"/>
      <c r="E259" s="16"/>
      <c r="F259" s="17" t="s">
        <v>1567</v>
      </c>
    </row>
    <row r="260" customFormat="false" ht="15" hidden="false" customHeight="false" outlineLevel="2" collapsed="false">
      <c r="A260" s="16"/>
      <c r="B260" s="16"/>
      <c r="C260" s="16" t="s">
        <v>1575</v>
      </c>
      <c r="D260" s="16"/>
      <c r="E260" s="16"/>
      <c r="F260" s="17" t="s">
        <v>1574</v>
      </c>
    </row>
    <row r="261" customFormat="false" ht="15" hidden="false" customHeight="false" outlineLevel="1" collapsed="false">
      <c r="A261" s="16"/>
      <c r="B261" s="16" t="s">
        <v>1581</v>
      </c>
      <c r="C261" s="16"/>
      <c r="D261" s="16"/>
      <c r="E261" s="16"/>
      <c r="F261" s="17" t="s">
        <v>1580</v>
      </c>
    </row>
    <row r="262" customFormat="false" ht="15" hidden="false" customHeight="false" outlineLevel="2" collapsed="false">
      <c r="A262" s="16"/>
      <c r="B262" s="16"/>
      <c r="C262" s="16" t="s">
        <v>1588</v>
      </c>
      <c r="D262" s="16"/>
      <c r="E262" s="16"/>
      <c r="F262" s="17" t="s">
        <v>1587</v>
      </c>
    </row>
    <row r="263" customFormat="false" ht="15" hidden="false" customHeight="false" outlineLevel="3" collapsed="false">
      <c r="A263" s="16"/>
      <c r="B263" s="16"/>
      <c r="C263" s="16"/>
      <c r="D263" s="16" t="s">
        <v>1593</v>
      </c>
      <c r="E263" s="16"/>
      <c r="F263" s="17" t="s">
        <v>1592</v>
      </c>
    </row>
    <row r="264" customFormat="false" ht="15" hidden="false" customHeight="false" outlineLevel="3" collapsed="false">
      <c r="A264" s="16"/>
      <c r="B264" s="16"/>
      <c r="C264" s="16"/>
      <c r="D264" s="16" t="s">
        <v>1598</v>
      </c>
      <c r="E264" s="16"/>
      <c r="F264" s="17" t="s">
        <v>1597</v>
      </c>
    </row>
    <row r="265" customFormat="false" ht="15" hidden="false" customHeight="false" outlineLevel="3" collapsed="false">
      <c r="A265" s="16"/>
      <c r="B265" s="16"/>
      <c r="C265" s="16"/>
      <c r="D265" s="16" t="s">
        <v>1603</v>
      </c>
      <c r="E265" s="16"/>
      <c r="F265" s="17" t="s">
        <v>1602</v>
      </c>
    </row>
    <row r="266" customFormat="false" ht="15" hidden="false" customHeight="false" outlineLevel="2" collapsed="false">
      <c r="A266" s="16"/>
      <c r="B266" s="16"/>
      <c r="C266" s="16" t="s">
        <v>1609</v>
      </c>
      <c r="D266" s="16"/>
      <c r="E266" s="16"/>
      <c r="F266" s="17" t="s">
        <v>1608</v>
      </c>
    </row>
    <row r="267" customFormat="false" ht="15" hidden="false" customHeight="false" outlineLevel="2" collapsed="false">
      <c r="A267" s="16"/>
      <c r="B267" s="16"/>
      <c r="C267" s="16" t="s">
        <v>1614</v>
      </c>
      <c r="D267" s="16"/>
      <c r="E267" s="16"/>
      <c r="F267" s="17" t="s">
        <v>1613</v>
      </c>
    </row>
    <row r="268" customFormat="false" ht="15" hidden="false" customHeight="false" outlineLevel="2" collapsed="false">
      <c r="A268" s="16"/>
      <c r="B268" s="16"/>
      <c r="C268" s="16" t="s">
        <v>1619</v>
      </c>
      <c r="D268" s="16"/>
      <c r="E268" s="16"/>
      <c r="F268" s="17" t="s">
        <v>1618</v>
      </c>
    </row>
    <row r="269" customFormat="false" ht="15" hidden="false" customHeight="false" outlineLevel="2" collapsed="false">
      <c r="A269" s="16"/>
      <c r="B269" s="16"/>
      <c r="C269" s="16" t="s">
        <v>1624</v>
      </c>
      <c r="D269" s="16"/>
      <c r="E269" s="16"/>
      <c r="F269" s="17" t="s">
        <v>1623</v>
      </c>
    </row>
    <row r="270" customFormat="false" ht="15" hidden="false" customHeight="false" outlineLevel="2" collapsed="false">
      <c r="A270" s="16"/>
      <c r="B270" s="16"/>
      <c r="C270" s="16" t="s">
        <v>1629</v>
      </c>
      <c r="D270" s="16"/>
      <c r="E270" s="16"/>
      <c r="F270" s="17" t="s">
        <v>1628</v>
      </c>
    </row>
    <row r="271" customFormat="false" ht="15" hidden="false" customHeight="false" outlineLevel="1" collapsed="false">
      <c r="A271" s="16"/>
      <c r="B271" s="16" t="s">
        <v>1636</v>
      </c>
      <c r="C271" s="16"/>
      <c r="D271" s="16"/>
      <c r="E271" s="16"/>
      <c r="F271" s="17" t="s">
        <v>1635</v>
      </c>
    </row>
    <row r="272" customFormat="false" ht="15" hidden="false" customHeight="false" outlineLevel="2" collapsed="false">
      <c r="A272" s="16"/>
      <c r="B272" s="16"/>
      <c r="C272" s="16" t="s">
        <v>1643</v>
      </c>
      <c r="D272" s="16"/>
      <c r="E272" s="16"/>
      <c r="F272" s="17" t="s">
        <v>1642</v>
      </c>
    </row>
    <row r="273" customFormat="false" ht="15" hidden="false" customHeight="false" outlineLevel="2" collapsed="false">
      <c r="A273" s="16"/>
      <c r="B273" s="16"/>
      <c r="C273" s="16" t="s">
        <v>1648</v>
      </c>
      <c r="D273" s="16"/>
      <c r="E273" s="16"/>
      <c r="F273" s="17" t="s">
        <v>1647</v>
      </c>
    </row>
    <row r="274" customFormat="false" ht="15" hidden="false" customHeight="false" outlineLevel="2" collapsed="false">
      <c r="A274" s="16"/>
      <c r="B274" s="16"/>
      <c r="C274" s="16" t="s">
        <v>1654</v>
      </c>
      <c r="D274" s="16"/>
      <c r="E274" s="16"/>
      <c r="F274" s="17" t="s">
        <v>1653</v>
      </c>
    </row>
    <row r="275" customFormat="false" ht="15" hidden="false" customHeight="false" outlineLevel="2" collapsed="false">
      <c r="A275" s="16"/>
      <c r="B275" s="16"/>
      <c r="C275" s="16" t="s">
        <v>1660</v>
      </c>
      <c r="D275" s="16"/>
      <c r="E275" s="16"/>
      <c r="F275" s="17" t="s">
        <v>1659</v>
      </c>
    </row>
    <row r="276" customFormat="false" ht="15" hidden="false" customHeight="false" outlineLevel="1" collapsed="false">
      <c r="A276" s="16"/>
      <c r="B276" s="16" t="s">
        <v>1666</v>
      </c>
      <c r="C276" s="16"/>
      <c r="D276" s="16"/>
      <c r="E276" s="16"/>
      <c r="F276" s="17" t="s">
        <v>1665</v>
      </c>
    </row>
    <row r="277" customFormat="false" ht="15" hidden="false" customHeight="false" outlineLevel="2" collapsed="false">
      <c r="A277" s="16"/>
      <c r="B277" s="16"/>
      <c r="C277" s="16" t="s">
        <v>1673</v>
      </c>
      <c r="D277" s="16"/>
      <c r="E277" s="16"/>
      <c r="F277" s="17" t="s">
        <v>1672</v>
      </c>
    </row>
    <row r="278" customFormat="false" ht="15" hidden="false" customHeight="false" outlineLevel="2" collapsed="false">
      <c r="A278" s="16"/>
      <c r="B278" s="16"/>
      <c r="C278" s="16" t="s">
        <v>1680</v>
      </c>
      <c r="D278" s="16"/>
      <c r="E278" s="16"/>
      <c r="F278" s="17" t="s">
        <v>1679</v>
      </c>
    </row>
    <row r="279" customFormat="false" ht="15" hidden="false" customHeight="false" outlineLevel="1" collapsed="false">
      <c r="A279" s="16"/>
      <c r="B279" s="16" t="s">
        <v>1685</v>
      </c>
      <c r="C279" s="16"/>
      <c r="D279" s="16"/>
      <c r="E279" s="16"/>
      <c r="F279" s="17" t="s">
        <v>1684</v>
      </c>
    </row>
    <row r="280" customFormat="false" ht="15" hidden="false" customHeight="false" outlineLevel="1" collapsed="false">
      <c r="A280" s="16"/>
      <c r="B280" s="16" t="s">
        <v>1692</v>
      </c>
      <c r="C280" s="16"/>
      <c r="D280" s="16"/>
      <c r="E280" s="16"/>
      <c r="F280" s="17" t="s">
        <v>1691</v>
      </c>
    </row>
    <row r="281" customFormat="false" ht="15" hidden="false" customHeight="false" outlineLevel="1" collapsed="false">
      <c r="A281" s="16"/>
      <c r="B281" s="16" t="s">
        <v>1699</v>
      </c>
      <c r="C281" s="16"/>
      <c r="D281" s="16"/>
      <c r="E281" s="16"/>
      <c r="F281" s="17" t="s">
        <v>1698</v>
      </c>
    </row>
    <row r="282" customFormat="false" ht="15" hidden="false" customHeight="false" outlineLevel="2" collapsed="false">
      <c r="A282" s="16"/>
      <c r="B282" s="16"/>
      <c r="C282" s="16" t="s">
        <v>1705</v>
      </c>
      <c r="D282" s="16"/>
      <c r="E282" s="16"/>
      <c r="F282" s="17" t="s">
        <v>1704</v>
      </c>
    </row>
    <row r="283" customFormat="false" ht="15" hidden="false" customHeight="false" outlineLevel="2" collapsed="false">
      <c r="A283" s="16"/>
      <c r="B283" s="16"/>
      <c r="C283" s="16" t="s">
        <v>1712</v>
      </c>
      <c r="D283" s="16"/>
      <c r="E283" s="16"/>
      <c r="F283" s="17" t="s">
        <v>1711</v>
      </c>
    </row>
    <row r="284" customFormat="false" ht="15" hidden="false" customHeight="false" outlineLevel="2" collapsed="false">
      <c r="A284" s="16"/>
      <c r="B284" s="16"/>
      <c r="C284" s="16" t="s">
        <v>1717</v>
      </c>
      <c r="D284" s="16"/>
      <c r="E284" s="16"/>
      <c r="F284" s="17" t="s">
        <v>1716</v>
      </c>
    </row>
    <row r="285" customFormat="false" ht="15" hidden="false" customHeight="false" outlineLevel="0" collapsed="false">
      <c r="A285" s="14" t="s">
        <v>1723</v>
      </c>
      <c r="B285" s="14"/>
      <c r="C285" s="14"/>
      <c r="D285" s="14"/>
      <c r="E285" s="14"/>
      <c r="F285" s="15" t="s">
        <v>1722</v>
      </c>
    </row>
    <row r="286" customFormat="false" ht="15" hidden="false" customHeight="false" outlineLevel="1" collapsed="false">
      <c r="A286" s="16"/>
      <c r="B286" s="16" t="s">
        <v>1728</v>
      </c>
      <c r="C286" s="16"/>
      <c r="D286" s="16"/>
      <c r="E286" s="16"/>
      <c r="F286" s="17" t="s">
        <v>1727</v>
      </c>
    </row>
    <row r="287" customFormat="false" ht="15" hidden="false" customHeight="false" outlineLevel="2" collapsed="false">
      <c r="A287" s="16"/>
      <c r="B287" s="16"/>
      <c r="C287" s="16" t="s">
        <v>1734</v>
      </c>
      <c r="D287" s="16"/>
      <c r="E287" s="16"/>
      <c r="F287" s="17" t="s">
        <v>1733</v>
      </c>
    </row>
    <row r="288" customFormat="false" ht="15" hidden="false" customHeight="false" outlineLevel="3" collapsed="false">
      <c r="A288" s="16"/>
      <c r="B288" s="16"/>
      <c r="C288" s="16"/>
      <c r="D288" s="16" t="s">
        <v>1741</v>
      </c>
      <c r="E288" s="16"/>
      <c r="F288" s="17" t="s">
        <v>1740</v>
      </c>
    </row>
    <row r="289" customFormat="false" ht="15" hidden="false" customHeight="false" outlineLevel="3" collapsed="false">
      <c r="A289" s="16"/>
      <c r="B289" s="16"/>
      <c r="C289" s="16"/>
      <c r="D289" s="16" t="s">
        <v>1747</v>
      </c>
      <c r="E289" s="16"/>
      <c r="F289" s="17" t="s">
        <v>1746</v>
      </c>
    </row>
    <row r="290" customFormat="false" ht="15" hidden="false" customHeight="false" outlineLevel="3" collapsed="false">
      <c r="A290" s="16"/>
      <c r="B290" s="16"/>
      <c r="C290" s="16"/>
      <c r="D290" s="16" t="s">
        <v>1752</v>
      </c>
      <c r="E290" s="16"/>
      <c r="F290" s="17" t="s">
        <v>1751</v>
      </c>
    </row>
    <row r="291" customFormat="false" ht="15" hidden="false" customHeight="false" outlineLevel="3" collapsed="false">
      <c r="A291" s="16"/>
      <c r="B291" s="16"/>
      <c r="C291" s="16"/>
      <c r="D291" s="16" t="s">
        <v>1757</v>
      </c>
      <c r="E291" s="16"/>
      <c r="F291" s="17" t="s">
        <v>1756</v>
      </c>
    </row>
    <row r="292" customFormat="false" ht="15" hidden="false" customHeight="false" outlineLevel="3" collapsed="false">
      <c r="A292" s="16"/>
      <c r="B292" s="16"/>
      <c r="C292" s="16"/>
      <c r="D292" s="16" t="s">
        <v>1763</v>
      </c>
      <c r="E292" s="16"/>
      <c r="F292" s="17" t="s">
        <v>1762</v>
      </c>
    </row>
    <row r="293" customFormat="false" ht="15" hidden="false" customHeight="false" outlineLevel="2" collapsed="false">
      <c r="A293" s="16"/>
      <c r="B293" s="16"/>
      <c r="C293" s="16" t="s">
        <v>1768</v>
      </c>
      <c r="D293" s="16"/>
      <c r="E293" s="16"/>
      <c r="F293" s="17" t="s">
        <v>1767</v>
      </c>
    </row>
    <row r="294" customFormat="false" ht="15" hidden="false" customHeight="false" outlineLevel="3" collapsed="false">
      <c r="A294" s="16"/>
      <c r="B294" s="16"/>
      <c r="C294" s="16"/>
      <c r="D294" s="16" t="s">
        <v>1775</v>
      </c>
      <c r="E294" s="16"/>
      <c r="F294" s="17" t="s">
        <v>1774</v>
      </c>
    </row>
    <row r="295" customFormat="false" ht="15" hidden="false" customHeight="false" outlineLevel="3" collapsed="false">
      <c r="A295" s="16"/>
      <c r="B295" s="16"/>
      <c r="C295" s="16"/>
      <c r="D295" s="16" t="s">
        <v>1781</v>
      </c>
      <c r="E295" s="16"/>
      <c r="F295" s="17" t="s">
        <v>1780</v>
      </c>
    </row>
    <row r="296" customFormat="false" ht="15" hidden="false" customHeight="false" outlineLevel="3" collapsed="false">
      <c r="A296" s="16"/>
      <c r="B296" s="16"/>
      <c r="C296" s="16"/>
      <c r="D296" s="16" t="s">
        <v>1787</v>
      </c>
      <c r="E296" s="16"/>
      <c r="F296" s="17" t="s">
        <v>1786</v>
      </c>
    </row>
    <row r="297" customFormat="false" ht="15" hidden="false" customHeight="false" outlineLevel="3" collapsed="false">
      <c r="A297" s="16"/>
      <c r="B297" s="16"/>
      <c r="C297" s="16"/>
      <c r="D297" s="16" t="s">
        <v>1792</v>
      </c>
      <c r="E297" s="16"/>
      <c r="F297" s="17" t="s">
        <v>1791</v>
      </c>
    </row>
    <row r="298" customFormat="false" ht="15" hidden="false" customHeight="false" outlineLevel="2" collapsed="false">
      <c r="A298" s="16"/>
      <c r="B298" s="16"/>
      <c r="C298" s="16" t="s">
        <v>1797</v>
      </c>
      <c r="D298" s="16"/>
      <c r="E298" s="16"/>
      <c r="F298" s="17" t="s">
        <v>1796</v>
      </c>
    </row>
    <row r="299" customFormat="false" ht="15" hidden="false" customHeight="false" outlineLevel="3" collapsed="false">
      <c r="A299" s="16"/>
      <c r="B299" s="16"/>
      <c r="C299" s="16"/>
      <c r="D299" s="16" t="s">
        <v>1802</v>
      </c>
      <c r="E299" s="16"/>
      <c r="F299" s="17" t="s">
        <v>1801</v>
      </c>
    </row>
    <row r="300" customFormat="false" ht="15" hidden="false" customHeight="false" outlineLevel="3" collapsed="false">
      <c r="A300" s="16"/>
      <c r="B300" s="16"/>
      <c r="C300" s="16"/>
      <c r="D300" s="16" t="s">
        <v>1809</v>
      </c>
      <c r="E300" s="16"/>
      <c r="F300" s="17" t="s">
        <v>1808</v>
      </c>
    </row>
    <row r="301" customFormat="false" ht="15" hidden="false" customHeight="false" outlineLevel="3" collapsed="false">
      <c r="A301" s="16"/>
      <c r="B301" s="16"/>
      <c r="C301" s="16"/>
      <c r="D301" s="16" t="s">
        <v>1814</v>
      </c>
      <c r="E301" s="16"/>
      <c r="F301" s="17" t="s">
        <v>1813</v>
      </c>
    </row>
    <row r="302" customFormat="false" ht="15" hidden="false" customHeight="false" outlineLevel="3" collapsed="false">
      <c r="A302" s="16"/>
      <c r="B302" s="16"/>
      <c r="C302" s="16"/>
      <c r="D302" s="16" t="s">
        <v>1819</v>
      </c>
      <c r="E302" s="16"/>
      <c r="F302" s="17" t="s">
        <v>1818</v>
      </c>
    </row>
    <row r="303" customFormat="false" ht="15" hidden="false" customHeight="false" outlineLevel="3" collapsed="false">
      <c r="A303" s="16"/>
      <c r="B303" s="16"/>
      <c r="C303" s="16"/>
      <c r="D303" s="16" t="s">
        <v>1825</v>
      </c>
      <c r="E303" s="16"/>
      <c r="F303" s="17" t="s">
        <v>1824</v>
      </c>
    </row>
    <row r="304" customFormat="false" ht="15" hidden="false" customHeight="false" outlineLevel="2" collapsed="false">
      <c r="A304" s="16"/>
      <c r="B304" s="16"/>
      <c r="C304" s="16" t="s">
        <v>1830</v>
      </c>
      <c r="D304" s="16"/>
      <c r="E304" s="16"/>
      <c r="F304" s="17" t="s">
        <v>1829</v>
      </c>
    </row>
    <row r="305" customFormat="false" ht="15" hidden="false" customHeight="false" outlineLevel="1" collapsed="false">
      <c r="A305" s="16"/>
      <c r="B305" s="16" t="s">
        <v>1837</v>
      </c>
      <c r="C305" s="16"/>
      <c r="D305" s="16"/>
      <c r="E305" s="16"/>
      <c r="F305" s="17" t="s">
        <v>1836</v>
      </c>
    </row>
    <row r="306" customFormat="false" ht="15" hidden="false" customHeight="false" outlineLevel="2" collapsed="false">
      <c r="A306" s="16"/>
      <c r="B306" s="16"/>
      <c r="C306" s="16" t="s">
        <v>1844</v>
      </c>
      <c r="D306" s="16"/>
      <c r="E306" s="16"/>
      <c r="F306" s="17" t="s">
        <v>1843</v>
      </c>
    </row>
    <row r="307" customFormat="false" ht="15" hidden="false" customHeight="false" outlineLevel="2" collapsed="false">
      <c r="A307" s="16"/>
      <c r="B307" s="16"/>
      <c r="C307" s="16" t="s">
        <v>1849</v>
      </c>
      <c r="D307" s="16"/>
      <c r="E307" s="16"/>
      <c r="F307" s="17" t="s">
        <v>1848</v>
      </c>
    </row>
    <row r="308" customFormat="false" ht="15" hidden="false" customHeight="false" outlineLevel="2" collapsed="false">
      <c r="A308" s="16"/>
      <c r="B308" s="16"/>
      <c r="C308" s="16" t="s">
        <v>1854</v>
      </c>
      <c r="D308" s="16"/>
      <c r="E308" s="16"/>
      <c r="F308" s="17" t="s">
        <v>1853</v>
      </c>
    </row>
    <row r="309" customFormat="false" ht="15" hidden="false" customHeight="false" outlineLevel="2" collapsed="false">
      <c r="A309" s="16"/>
      <c r="B309" s="16"/>
      <c r="C309" s="16" t="s">
        <v>1860</v>
      </c>
      <c r="D309" s="16"/>
      <c r="E309" s="16"/>
      <c r="F309" s="17" t="s">
        <v>1859</v>
      </c>
    </row>
    <row r="310" customFormat="false" ht="15" hidden="false" customHeight="false" outlineLevel="2" collapsed="false">
      <c r="A310" s="16"/>
      <c r="B310" s="16"/>
      <c r="C310" s="16" t="s">
        <v>1865</v>
      </c>
      <c r="D310" s="16"/>
      <c r="E310" s="16"/>
      <c r="F310" s="17" t="s">
        <v>1864</v>
      </c>
    </row>
    <row r="311" customFormat="false" ht="15" hidden="false" customHeight="false" outlineLevel="2" collapsed="false">
      <c r="A311" s="16"/>
      <c r="B311" s="16"/>
      <c r="C311" s="16" t="s">
        <v>1871</v>
      </c>
      <c r="D311" s="16"/>
      <c r="E311" s="16"/>
      <c r="F311" s="17" t="s">
        <v>1870</v>
      </c>
    </row>
    <row r="312" customFormat="false" ht="15" hidden="false" customHeight="false" outlineLevel="2" collapsed="false">
      <c r="A312" s="16"/>
      <c r="B312" s="16"/>
      <c r="C312" s="16" t="s">
        <v>1876</v>
      </c>
      <c r="D312" s="16"/>
      <c r="E312" s="16"/>
      <c r="F312" s="17" t="s">
        <v>1875</v>
      </c>
    </row>
    <row r="313" customFormat="false" ht="15" hidden="false" customHeight="false" outlineLevel="2" collapsed="false">
      <c r="A313" s="16"/>
      <c r="B313" s="16"/>
      <c r="C313" s="16" t="s">
        <v>1881</v>
      </c>
      <c r="D313" s="16"/>
      <c r="E313" s="16"/>
      <c r="F313" s="17" t="s">
        <v>1880</v>
      </c>
    </row>
    <row r="314" customFormat="false" ht="15" hidden="false" customHeight="false" outlineLevel="2" collapsed="false">
      <c r="A314" s="16"/>
      <c r="B314" s="16"/>
      <c r="C314" s="16" t="s">
        <v>1886</v>
      </c>
      <c r="D314" s="16"/>
      <c r="E314" s="16"/>
      <c r="F314" s="17" t="s">
        <v>1885</v>
      </c>
    </row>
    <row r="315" customFormat="false" ht="15" hidden="false" customHeight="false" outlineLevel="2" collapsed="false">
      <c r="A315" s="16"/>
      <c r="B315" s="16"/>
      <c r="C315" s="16" t="s">
        <v>1892</v>
      </c>
      <c r="D315" s="16"/>
      <c r="E315" s="16"/>
      <c r="F315" s="17" t="s">
        <v>1891</v>
      </c>
    </row>
    <row r="316" customFormat="false" ht="15" hidden="false" customHeight="false" outlineLevel="2" collapsed="false">
      <c r="A316" s="16"/>
      <c r="B316" s="16"/>
      <c r="C316" s="16" t="s">
        <v>1897</v>
      </c>
      <c r="D316" s="16"/>
      <c r="E316" s="16"/>
      <c r="F316" s="17" t="s">
        <v>1896</v>
      </c>
    </row>
    <row r="317" customFormat="false" ht="15" hidden="false" customHeight="false" outlineLevel="1" collapsed="false">
      <c r="A317" s="16"/>
      <c r="B317" s="16" t="s">
        <v>1903</v>
      </c>
      <c r="C317" s="16"/>
      <c r="D317" s="16"/>
      <c r="E317" s="16"/>
      <c r="F317" s="17" t="s">
        <v>1902</v>
      </c>
    </row>
    <row r="318" customFormat="false" ht="15" hidden="false" customHeight="false" outlineLevel="2" collapsed="false">
      <c r="A318" s="16"/>
      <c r="B318" s="16"/>
      <c r="C318" s="16" t="s">
        <v>1909</v>
      </c>
      <c r="D318" s="16"/>
      <c r="E318" s="16"/>
      <c r="F318" s="17" t="s">
        <v>1908</v>
      </c>
    </row>
    <row r="319" customFormat="false" ht="15" hidden="false" customHeight="false" outlineLevel="2" collapsed="false">
      <c r="A319" s="16"/>
      <c r="B319" s="16"/>
      <c r="C319" s="16" t="s">
        <v>1914</v>
      </c>
      <c r="D319" s="16"/>
      <c r="E319" s="16"/>
      <c r="F319" s="17" t="s">
        <v>1913</v>
      </c>
    </row>
    <row r="320" customFormat="false" ht="15" hidden="false" customHeight="false" outlineLevel="2" collapsed="false">
      <c r="A320" s="16"/>
      <c r="B320" s="16"/>
      <c r="C320" s="16" t="s">
        <v>1921</v>
      </c>
      <c r="D320" s="16"/>
      <c r="E320" s="16"/>
      <c r="F320" s="17" t="s">
        <v>1920</v>
      </c>
    </row>
    <row r="321" customFormat="false" ht="15" hidden="false" customHeight="false" outlineLevel="2" collapsed="false">
      <c r="A321" s="16"/>
      <c r="B321" s="16"/>
      <c r="C321" s="16" t="s">
        <v>1927</v>
      </c>
      <c r="D321" s="16"/>
      <c r="E321" s="16"/>
      <c r="F321" s="17" t="s">
        <v>1926</v>
      </c>
    </row>
    <row r="322" customFormat="false" ht="15" hidden="false" customHeight="false" outlineLevel="2" collapsed="false">
      <c r="A322" s="16"/>
      <c r="B322" s="16"/>
      <c r="C322" s="16" t="s">
        <v>1932</v>
      </c>
      <c r="D322" s="16"/>
      <c r="E322" s="16"/>
      <c r="F322" s="17" t="s">
        <v>1931</v>
      </c>
    </row>
    <row r="323" customFormat="false" ht="15" hidden="false" customHeight="false" outlineLevel="2" collapsed="false">
      <c r="A323" s="16"/>
      <c r="B323" s="16"/>
      <c r="C323" s="16" t="s">
        <v>1938</v>
      </c>
      <c r="D323" s="16"/>
      <c r="E323" s="16"/>
      <c r="F323" s="17" t="s">
        <v>1937</v>
      </c>
    </row>
    <row r="324" customFormat="false" ht="15" hidden="false" customHeight="false" outlineLevel="2" collapsed="false">
      <c r="A324" s="16"/>
      <c r="B324" s="16"/>
      <c r="C324" s="16" t="s">
        <v>1944</v>
      </c>
      <c r="D324" s="16"/>
      <c r="E324" s="16"/>
      <c r="F324" s="17" t="s">
        <v>1943</v>
      </c>
    </row>
    <row r="325" customFormat="false" ht="15" hidden="false" customHeight="false" outlineLevel="1" collapsed="false">
      <c r="A325" s="16"/>
      <c r="B325" s="16" t="s">
        <v>1950</v>
      </c>
      <c r="C325" s="16"/>
      <c r="D325" s="16"/>
      <c r="E325" s="16"/>
      <c r="F325" s="17" t="s">
        <v>1949</v>
      </c>
    </row>
    <row r="326" customFormat="false" ht="15" hidden="false" customHeight="false" outlineLevel="2" collapsed="false">
      <c r="A326" s="16"/>
      <c r="B326" s="16"/>
      <c r="C326" s="16" t="s">
        <v>1956</v>
      </c>
      <c r="D326" s="16"/>
      <c r="E326" s="16"/>
      <c r="F326" s="17" t="s">
        <v>1955</v>
      </c>
    </row>
    <row r="327" customFormat="false" ht="15" hidden="false" customHeight="false" outlineLevel="2" collapsed="false">
      <c r="A327" s="16"/>
      <c r="B327" s="16"/>
      <c r="C327" s="16" t="s">
        <v>1961</v>
      </c>
      <c r="D327" s="16"/>
      <c r="E327" s="16"/>
      <c r="F327" s="17" t="s">
        <v>1960</v>
      </c>
    </row>
    <row r="328" customFormat="false" ht="15" hidden="false" customHeight="false" outlineLevel="2" collapsed="false">
      <c r="A328" s="16"/>
      <c r="B328" s="16"/>
      <c r="C328" s="16" t="s">
        <v>1966</v>
      </c>
      <c r="D328" s="16"/>
      <c r="E328" s="16"/>
      <c r="F328" s="17" t="s">
        <v>1965</v>
      </c>
    </row>
    <row r="329" customFormat="false" ht="15" hidden="false" customHeight="false" outlineLevel="0" collapsed="false">
      <c r="A329" s="14" t="s">
        <v>1972</v>
      </c>
      <c r="B329" s="14"/>
      <c r="C329" s="14"/>
      <c r="D329" s="14"/>
      <c r="E329" s="14"/>
      <c r="F329" s="15" t="s">
        <v>1971</v>
      </c>
    </row>
    <row r="330" customFormat="false" ht="15" hidden="false" customHeight="false" outlineLevel="1" collapsed="false">
      <c r="A330" s="16"/>
      <c r="B330" s="16" t="s">
        <v>1978</v>
      </c>
      <c r="C330" s="16"/>
      <c r="D330" s="16"/>
      <c r="E330" s="16"/>
      <c r="F330" s="17" t="s">
        <v>1977</v>
      </c>
    </row>
    <row r="331" customFormat="false" ht="15" hidden="false" customHeight="false" outlineLevel="2" collapsed="false">
      <c r="A331" s="16"/>
      <c r="B331" s="16"/>
      <c r="C331" s="16" t="s">
        <v>1985</v>
      </c>
      <c r="D331" s="16"/>
      <c r="E331" s="16"/>
      <c r="F331" s="17" t="s">
        <v>1984</v>
      </c>
    </row>
    <row r="332" customFormat="false" ht="15" hidden="false" customHeight="false" outlineLevel="3" collapsed="false">
      <c r="A332" s="16"/>
      <c r="B332" s="16"/>
      <c r="C332" s="16"/>
      <c r="D332" s="16" t="s">
        <v>1990</v>
      </c>
      <c r="E332" s="16"/>
      <c r="F332" s="17" t="s">
        <v>1989</v>
      </c>
    </row>
    <row r="333" customFormat="false" ht="15" hidden="false" customHeight="false" outlineLevel="3" collapsed="false">
      <c r="A333" s="16"/>
      <c r="B333" s="16"/>
      <c r="C333" s="16"/>
      <c r="D333" s="16" t="s">
        <v>1996</v>
      </c>
      <c r="E333" s="16"/>
      <c r="F333" s="17" t="s">
        <v>1995</v>
      </c>
    </row>
    <row r="334" customFormat="false" ht="15" hidden="false" customHeight="false" outlineLevel="3" collapsed="false">
      <c r="A334" s="16"/>
      <c r="B334" s="16"/>
      <c r="C334" s="16"/>
      <c r="D334" s="16" t="s">
        <v>2002</v>
      </c>
      <c r="E334" s="16"/>
      <c r="F334" s="17" t="s">
        <v>2001</v>
      </c>
    </row>
    <row r="335" customFormat="false" ht="15" hidden="false" customHeight="false" outlineLevel="3" collapsed="false">
      <c r="A335" s="16"/>
      <c r="B335" s="16"/>
      <c r="C335" s="16"/>
      <c r="D335" s="16" t="s">
        <v>2008</v>
      </c>
      <c r="E335" s="16"/>
      <c r="F335" s="17" t="s">
        <v>2007</v>
      </c>
    </row>
    <row r="336" customFormat="false" ht="15" hidden="false" customHeight="false" outlineLevel="3" collapsed="false">
      <c r="A336" s="16"/>
      <c r="B336" s="16"/>
      <c r="C336" s="16"/>
      <c r="D336" s="16" t="s">
        <v>2013</v>
      </c>
      <c r="E336" s="16"/>
      <c r="F336" s="17" t="s">
        <v>2012</v>
      </c>
    </row>
    <row r="337" customFormat="false" ht="15" hidden="false" customHeight="false" outlineLevel="3" collapsed="false">
      <c r="A337" s="16"/>
      <c r="B337" s="16"/>
      <c r="C337" s="16"/>
      <c r="D337" s="16" t="s">
        <v>2019</v>
      </c>
      <c r="E337" s="16"/>
      <c r="F337" s="17" t="s">
        <v>2018</v>
      </c>
    </row>
    <row r="338" customFormat="false" ht="15" hidden="false" customHeight="false" outlineLevel="2" collapsed="false">
      <c r="A338" s="16"/>
      <c r="B338" s="16"/>
      <c r="C338" s="16" t="s">
        <v>2025</v>
      </c>
      <c r="D338" s="16"/>
      <c r="E338" s="16"/>
      <c r="F338" s="17" t="s">
        <v>2024</v>
      </c>
    </row>
    <row r="339" customFormat="false" ht="15" hidden="false" customHeight="false" outlineLevel="3" collapsed="false">
      <c r="A339" s="16"/>
      <c r="B339" s="16"/>
      <c r="C339" s="16"/>
      <c r="D339" s="16" t="s">
        <v>2030</v>
      </c>
      <c r="E339" s="16"/>
      <c r="F339" s="17" t="s">
        <v>2029</v>
      </c>
    </row>
    <row r="340" customFormat="false" ht="15" hidden="false" customHeight="false" outlineLevel="3" collapsed="false">
      <c r="A340" s="16"/>
      <c r="B340" s="16"/>
      <c r="C340" s="16"/>
      <c r="D340" s="16" t="s">
        <v>2036</v>
      </c>
      <c r="E340" s="16"/>
      <c r="F340" s="17" t="s">
        <v>2035</v>
      </c>
    </row>
    <row r="341" customFormat="false" ht="15" hidden="false" customHeight="false" outlineLevel="3" collapsed="false">
      <c r="A341" s="16"/>
      <c r="B341" s="16"/>
      <c r="C341" s="16"/>
      <c r="D341" s="16" t="s">
        <v>2042</v>
      </c>
      <c r="E341" s="16"/>
      <c r="F341" s="17" t="s">
        <v>2041</v>
      </c>
    </row>
    <row r="342" customFormat="false" ht="15" hidden="false" customHeight="false" outlineLevel="3" collapsed="false">
      <c r="A342" s="16"/>
      <c r="B342" s="16"/>
      <c r="C342" s="16"/>
      <c r="D342" s="16" t="s">
        <v>2047</v>
      </c>
      <c r="E342" s="16"/>
      <c r="F342" s="17" t="s">
        <v>2046</v>
      </c>
    </row>
    <row r="343" customFormat="false" ht="15" hidden="false" customHeight="false" outlineLevel="2" collapsed="false">
      <c r="A343" s="16"/>
      <c r="B343" s="16"/>
      <c r="C343" s="16" t="s">
        <v>2052</v>
      </c>
      <c r="D343" s="16"/>
      <c r="E343" s="16"/>
      <c r="F343" s="17" t="s">
        <v>2051</v>
      </c>
    </row>
    <row r="344" customFormat="false" ht="15" hidden="false" customHeight="false" outlineLevel="1" collapsed="false">
      <c r="A344" s="16"/>
      <c r="B344" s="16" t="s">
        <v>2059</v>
      </c>
      <c r="C344" s="16"/>
      <c r="D344" s="16"/>
      <c r="E344" s="16"/>
      <c r="F344" s="17" t="s">
        <v>2058</v>
      </c>
    </row>
    <row r="345" customFormat="false" ht="15" hidden="false" customHeight="false" outlineLevel="2" collapsed="false">
      <c r="A345" s="16"/>
      <c r="B345" s="16"/>
      <c r="C345" s="16" t="s">
        <v>2066</v>
      </c>
      <c r="D345" s="16"/>
      <c r="E345" s="16"/>
      <c r="F345" s="17" t="s">
        <v>2065</v>
      </c>
    </row>
    <row r="346" customFormat="false" ht="15" hidden="false" customHeight="false" outlineLevel="3" collapsed="false">
      <c r="A346" s="16"/>
      <c r="B346" s="16"/>
      <c r="C346" s="16"/>
      <c r="D346" s="16" t="s">
        <v>2073</v>
      </c>
      <c r="E346" s="16"/>
      <c r="F346" s="17" t="s">
        <v>2072</v>
      </c>
    </row>
    <row r="347" customFormat="false" ht="15" hidden="false" customHeight="false" outlineLevel="3" collapsed="false">
      <c r="A347" s="16"/>
      <c r="B347" s="16"/>
      <c r="C347" s="16"/>
      <c r="D347" s="16" t="s">
        <v>2078</v>
      </c>
      <c r="E347" s="16"/>
      <c r="F347" s="17" t="s">
        <v>2077</v>
      </c>
    </row>
    <row r="348" customFormat="false" ht="15" hidden="false" customHeight="false" outlineLevel="3" collapsed="false">
      <c r="A348" s="16"/>
      <c r="B348" s="16"/>
      <c r="C348" s="16"/>
      <c r="D348" s="16" t="s">
        <v>2083</v>
      </c>
      <c r="E348" s="16"/>
      <c r="F348" s="17" t="s">
        <v>2082</v>
      </c>
    </row>
    <row r="349" customFormat="false" ht="15" hidden="false" customHeight="false" outlineLevel="3" collapsed="false">
      <c r="A349" s="16"/>
      <c r="B349" s="16"/>
      <c r="C349" s="16"/>
      <c r="D349" s="16" t="s">
        <v>2088</v>
      </c>
      <c r="E349" s="16"/>
      <c r="F349" s="17" t="s">
        <v>2087</v>
      </c>
    </row>
    <row r="350" customFormat="false" ht="15" hidden="false" customHeight="false" outlineLevel="2" collapsed="false">
      <c r="A350" s="16"/>
      <c r="B350" s="16"/>
      <c r="C350" s="16" t="s">
        <v>2094</v>
      </c>
      <c r="D350" s="16"/>
      <c r="E350" s="16"/>
      <c r="F350" s="17" t="s">
        <v>2093</v>
      </c>
    </row>
    <row r="351" customFormat="false" ht="15" hidden="false" customHeight="false" outlineLevel="2" collapsed="false">
      <c r="A351" s="16"/>
      <c r="B351" s="16"/>
      <c r="C351" s="16" t="s">
        <v>2101</v>
      </c>
      <c r="D351" s="16"/>
      <c r="E351" s="16"/>
      <c r="F351" s="17" t="s">
        <v>2100</v>
      </c>
    </row>
    <row r="352" customFormat="false" ht="15" hidden="false" customHeight="false" outlineLevel="2" collapsed="false">
      <c r="A352" s="16"/>
      <c r="B352" s="16"/>
      <c r="C352" s="16" t="s">
        <v>2107</v>
      </c>
      <c r="D352" s="16"/>
      <c r="E352" s="16"/>
      <c r="F352" s="17" t="s">
        <v>2106</v>
      </c>
    </row>
    <row r="353" customFormat="false" ht="15" hidden="false" customHeight="false" outlineLevel="2" collapsed="false">
      <c r="A353" s="16"/>
      <c r="B353" s="16"/>
      <c r="C353" s="16" t="s">
        <v>2113</v>
      </c>
      <c r="D353" s="16"/>
      <c r="E353" s="16"/>
      <c r="F353" s="17" t="s">
        <v>2112</v>
      </c>
    </row>
    <row r="354" customFormat="false" ht="15" hidden="false" customHeight="false" outlineLevel="2" collapsed="false">
      <c r="A354" s="16"/>
      <c r="B354" s="16"/>
      <c r="C354" s="16" t="s">
        <v>2119</v>
      </c>
      <c r="D354" s="16"/>
      <c r="E354" s="16"/>
      <c r="F354" s="17" t="s">
        <v>2118</v>
      </c>
    </row>
    <row r="355" customFormat="false" ht="15" hidden="false" customHeight="false" outlineLevel="2" collapsed="false">
      <c r="A355" s="16"/>
      <c r="B355" s="16"/>
      <c r="C355" s="16" t="s">
        <v>2125</v>
      </c>
      <c r="D355" s="16"/>
      <c r="E355" s="16"/>
      <c r="F355" s="17" t="s">
        <v>2124</v>
      </c>
    </row>
    <row r="356" customFormat="false" ht="15" hidden="false" customHeight="false" outlineLevel="2" collapsed="false">
      <c r="A356" s="16"/>
      <c r="B356" s="16"/>
      <c r="C356" s="16" t="s">
        <v>2131</v>
      </c>
      <c r="D356" s="16"/>
      <c r="E356" s="16"/>
      <c r="F356" s="17" t="s">
        <v>2130</v>
      </c>
    </row>
    <row r="357" customFormat="false" ht="15" hidden="false" customHeight="false" outlineLevel="2" collapsed="false">
      <c r="A357" s="16"/>
      <c r="B357" s="16"/>
      <c r="C357" s="16" t="s">
        <v>2137</v>
      </c>
      <c r="D357" s="16"/>
      <c r="E357" s="16"/>
      <c r="F357" s="17" t="s">
        <v>2136</v>
      </c>
    </row>
    <row r="358" customFormat="false" ht="15" hidden="false" customHeight="false" outlineLevel="1" collapsed="false">
      <c r="A358" s="16"/>
      <c r="B358" s="16" t="s">
        <v>2142</v>
      </c>
      <c r="C358" s="16"/>
      <c r="D358" s="16"/>
      <c r="E358" s="16"/>
      <c r="F358" s="17" t="s">
        <v>2141</v>
      </c>
    </row>
    <row r="359" customFormat="false" ht="15" hidden="false" customHeight="false" outlineLevel="2" collapsed="false">
      <c r="A359" s="16"/>
      <c r="B359" s="16"/>
      <c r="C359" s="16" t="s">
        <v>2148</v>
      </c>
      <c r="D359" s="16"/>
      <c r="E359" s="16"/>
      <c r="F359" s="17" t="s">
        <v>2147</v>
      </c>
    </row>
    <row r="360" customFormat="false" ht="15" hidden="false" customHeight="false" outlineLevel="3" collapsed="false">
      <c r="A360" s="16"/>
      <c r="B360" s="16"/>
      <c r="C360" s="16"/>
      <c r="D360" s="16" t="s">
        <v>2155</v>
      </c>
      <c r="E360" s="16"/>
      <c r="F360" s="17" t="s">
        <v>2154</v>
      </c>
    </row>
    <row r="361" customFormat="false" ht="15" hidden="false" customHeight="false" outlineLevel="3" collapsed="false">
      <c r="A361" s="16"/>
      <c r="B361" s="16"/>
      <c r="C361" s="16"/>
      <c r="D361" s="16" t="s">
        <v>2161</v>
      </c>
      <c r="E361" s="16"/>
      <c r="F361" s="17" t="s">
        <v>2160</v>
      </c>
    </row>
    <row r="362" customFormat="false" ht="15" hidden="false" customHeight="false" outlineLevel="3" collapsed="false">
      <c r="A362" s="16"/>
      <c r="B362" s="16"/>
      <c r="C362" s="16"/>
      <c r="D362" s="16" t="s">
        <v>2167</v>
      </c>
      <c r="E362" s="16"/>
      <c r="F362" s="17" t="s">
        <v>2166</v>
      </c>
    </row>
    <row r="363" customFormat="false" ht="15" hidden="false" customHeight="false" outlineLevel="3" collapsed="false">
      <c r="A363" s="16"/>
      <c r="B363" s="16"/>
      <c r="C363" s="16"/>
      <c r="D363" s="16" t="s">
        <v>2174</v>
      </c>
      <c r="E363" s="16"/>
      <c r="F363" s="17" t="s">
        <v>2173</v>
      </c>
    </row>
    <row r="364" customFormat="false" ht="15" hidden="false" customHeight="false" outlineLevel="3" collapsed="false">
      <c r="A364" s="16"/>
      <c r="B364" s="16"/>
      <c r="C364" s="16"/>
      <c r="D364" s="16" t="s">
        <v>2179</v>
      </c>
      <c r="E364" s="16"/>
      <c r="F364" s="17" t="s">
        <v>2178</v>
      </c>
    </row>
    <row r="365" customFormat="false" ht="15" hidden="false" customHeight="false" outlineLevel="2" collapsed="false">
      <c r="A365" s="16"/>
      <c r="B365" s="16"/>
      <c r="C365" s="16" t="s">
        <v>2184</v>
      </c>
      <c r="D365" s="16"/>
      <c r="E365" s="16"/>
      <c r="F365" s="17" t="s">
        <v>2183</v>
      </c>
    </row>
    <row r="366" customFormat="false" ht="15" hidden="false" customHeight="false" outlineLevel="2" collapsed="false">
      <c r="A366" s="16"/>
      <c r="B366" s="16"/>
      <c r="C366" s="16" t="s">
        <v>2191</v>
      </c>
      <c r="D366" s="16"/>
      <c r="E366" s="16"/>
      <c r="F366" s="17" t="s">
        <v>2190</v>
      </c>
    </row>
    <row r="367" customFormat="false" ht="15" hidden="false" customHeight="false" outlineLevel="1" collapsed="false">
      <c r="A367" s="16"/>
      <c r="B367" s="16" t="s">
        <v>2197</v>
      </c>
      <c r="C367" s="16"/>
      <c r="D367" s="16"/>
      <c r="E367" s="16"/>
      <c r="F367" s="17" t="s">
        <v>2196</v>
      </c>
    </row>
    <row r="368" customFormat="false" ht="15" hidden="false" customHeight="false" outlineLevel="1" collapsed="false">
      <c r="A368" s="16"/>
      <c r="B368" s="16" t="s">
        <v>2204</v>
      </c>
      <c r="C368" s="16"/>
      <c r="D368" s="16"/>
      <c r="E368" s="16"/>
      <c r="F368" s="17" t="s">
        <v>2203</v>
      </c>
    </row>
    <row r="369" customFormat="false" ht="15" hidden="false" customHeight="false" outlineLevel="2" collapsed="false">
      <c r="A369" s="16"/>
      <c r="B369" s="16"/>
      <c r="C369" s="16" t="s">
        <v>2210</v>
      </c>
      <c r="D369" s="16"/>
      <c r="E369" s="16"/>
      <c r="F369" s="17" t="s">
        <v>2209</v>
      </c>
    </row>
    <row r="370" customFormat="false" ht="15" hidden="false" customHeight="false" outlineLevel="2" collapsed="false">
      <c r="A370" s="16"/>
      <c r="B370" s="16"/>
      <c r="C370" s="16" t="s">
        <v>2215</v>
      </c>
      <c r="D370" s="16"/>
      <c r="E370" s="16"/>
      <c r="F370" s="17" t="s">
        <v>2214</v>
      </c>
    </row>
    <row r="371" customFormat="false" ht="15" hidden="false" customHeight="false" outlineLevel="2" collapsed="false">
      <c r="A371" s="16"/>
      <c r="B371" s="16"/>
      <c r="C371" s="16" t="s">
        <v>2220</v>
      </c>
      <c r="D371" s="16"/>
      <c r="E371" s="16"/>
      <c r="F371" s="17" t="s">
        <v>2219</v>
      </c>
    </row>
    <row r="372" customFormat="false" ht="15" hidden="false" customHeight="false" outlineLevel="2" collapsed="false">
      <c r="A372" s="16"/>
      <c r="B372" s="16"/>
      <c r="C372" s="16" t="s">
        <v>2226</v>
      </c>
      <c r="D372" s="16"/>
      <c r="E372" s="16"/>
      <c r="F372" s="17" t="s">
        <v>2225</v>
      </c>
    </row>
    <row r="373" customFormat="false" ht="15" hidden="false" customHeight="false" outlineLevel="1" collapsed="false">
      <c r="A373" s="16"/>
      <c r="B373" s="16" t="s">
        <v>2232</v>
      </c>
      <c r="C373" s="16"/>
      <c r="D373" s="16"/>
      <c r="E373" s="16"/>
      <c r="F373" s="17" t="s">
        <v>2231</v>
      </c>
    </row>
    <row r="374" customFormat="false" ht="15" hidden="false" customHeight="false" outlineLevel="2" collapsed="false">
      <c r="A374" s="16"/>
      <c r="B374" s="16"/>
      <c r="C374" s="16" t="s">
        <v>2237</v>
      </c>
      <c r="D374" s="16"/>
      <c r="E374" s="16"/>
      <c r="F374" s="17" t="s">
        <v>2236</v>
      </c>
    </row>
    <row r="375" customFormat="false" ht="15" hidden="false" customHeight="false" outlineLevel="2" collapsed="false">
      <c r="A375" s="16"/>
      <c r="B375" s="16"/>
      <c r="C375" s="16" t="s">
        <v>2243</v>
      </c>
      <c r="D375" s="16"/>
      <c r="E375" s="16"/>
      <c r="F375" s="17" t="s">
        <v>2242</v>
      </c>
    </row>
    <row r="376" customFormat="false" ht="15" hidden="false" customHeight="false" outlineLevel="2" collapsed="false">
      <c r="A376" s="16"/>
      <c r="B376" s="16"/>
      <c r="C376" s="16" t="s">
        <v>2248</v>
      </c>
      <c r="D376" s="16"/>
      <c r="E376" s="16"/>
      <c r="F376" s="17" t="s">
        <v>2247</v>
      </c>
    </row>
    <row r="377" customFormat="false" ht="15" hidden="false" customHeight="false" outlineLevel="2" collapsed="false">
      <c r="A377" s="16"/>
      <c r="B377" s="16"/>
      <c r="C377" s="16" t="s">
        <v>2254</v>
      </c>
      <c r="D377" s="16"/>
      <c r="E377" s="16"/>
      <c r="F377" s="17" t="s">
        <v>2253</v>
      </c>
    </row>
    <row r="378" customFormat="false" ht="15" hidden="false" customHeight="false" outlineLevel="2" collapsed="false">
      <c r="A378" s="16"/>
      <c r="B378" s="16"/>
      <c r="C378" s="16" t="s">
        <v>2260</v>
      </c>
      <c r="D378" s="16"/>
      <c r="E378" s="16"/>
      <c r="F378" s="17" t="s">
        <v>2259</v>
      </c>
    </row>
    <row r="379" customFormat="false" ht="15" hidden="false" customHeight="false" outlineLevel="1" collapsed="false">
      <c r="A379" s="16"/>
      <c r="B379" s="16" t="s">
        <v>2265</v>
      </c>
      <c r="C379" s="16"/>
      <c r="D379" s="16"/>
      <c r="E379" s="16"/>
      <c r="F379" s="17" t="s">
        <v>2264</v>
      </c>
    </row>
    <row r="380" customFormat="false" ht="15" hidden="false" customHeight="false" outlineLevel="2" collapsed="false">
      <c r="A380" s="16"/>
      <c r="B380" s="16"/>
      <c r="C380" s="16" t="s">
        <v>2271</v>
      </c>
      <c r="D380" s="16"/>
      <c r="E380" s="16"/>
      <c r="F380" s="17" t="s">
        <v>2270</v>
      </c>
    </row>
    <row r="381" customFormat="false" ht="15" hidden="false" customHeight="false" outlineLevel="2" collapsed="false">
      <c r="A381" s="16"/>
      <c r="B381" s="16"/>
      <c r="C381" s="16" t="s">
        <v>2276</v>
      </c>
      <c r="D381" s="16"/>
      <c r="E381" s="16"/>
      <c r="F381" s="17" t="s">
        <v>2275</v>
      </c>
    </row>
    <row r="382" customFormat="false" ht="15" hidden="false" customHeight="false" outlineLevel="2" collapsed="false">
      <c r="A382" s="16"/>
      <c r="B382" s="16"/>
      <c r="C382" s="16" t="s">
        <v>2283</v>
      </c>
      <c r="D382" s="16"/>
      <c r="E382" s="16"/>
      <c r="F382" s="17" t="s">
        <v>2282</v>
      </c>
    </row>
    <row r="383" customFormat="false" ht="15" hidden="false" customHeight="false" outlineLevel="2" collapsed="false">
      <c r="A383" s="16"/>
      <c r="B383" s="16"/>
      <c r="C383" s="16" t="s">
        <v>2289</v>
      </c>
      <c r="D383" s="16"/>
      <c r="E383" s="16"/>
      <c r="F383" s="17" t="s">
        <v>2288</v>
      </c>
    </row>
    <row r="384" customFormat="false" ht="15" hidden="false" customHeight="false" outlineLevel="1" collapsed="false">
      <c r="A384" s="16"/>
      <c r="B384" s="16" t="s">
        <v>2295</v>
      </c>
      <c r="C384" s="16"/>
      <c r="D384" s="16"/>
      <c r="E384" s="16"/>
      <c r="F384" s="17" t="s">
        <v>2294</v>
      </c>
    </row>
    <row r="385" customFormat="false" ht="15" hidden="false" customHeight="false" outlineLevel="2" collapsed="false">
      <c r="A385" s="16"/>
      <c r="B385" s="16"/>
      <c r="C385" s="16" t="s">
        <v>2301</v>
      </c>
      <c r="D385" s="16"/>
      <c r="E385" s="16"/>
      <c r="F385" s="17" t="s">
        <v>2300</v>
      </c>
    </row>
    <row r="386" customFormat="false" ht="15" hidden="false" customHeight="false" outlineLevel="2" collapsed="false">
      <c r="A386" s="16"/>
      <c r="B386" s="16"/>
      <c r="C386" s="16" t="s">
        <v>2306</v>
      </c>
      <c r="D386" s="16"/>
      <c r="E386" s="16"/>
      <c r="F386" s="17" t="s">
        <v>2305</v>
      </c>
    </row>
    <row r="387" customFormat="false" ht="15" hidden="false" customHeight="false" outlineLevel="2" collapsed="false">
      <c r="A387" s="16"/>
      <c r="B387" s="16"/>
      <c r="C387" s="16" t="s">
        <v>2312</v>
      </c>
      <c r="D387" s="16"/>
      <c r="E387" s="16"/>
      <c r="F387" s="17" t="s">
        <v>2311</v>
      </c>
    </row>
    <row r="388" customFormat="false" ht="15" hidden="false" customHeight="false" outlineLevel="2" collapsed="false">
      <c r="A388" s="16"/>
      <c r="B388" s="16"/>
      <c r="C388" s="16" t="s">
        <v>2317</v>
      </c>
      <c r="D388" s="16"/>
      <c r="E388" s="16"/>
      <c r="F388" s="17" t="s">
        <v>2316</v>
      </c>
    </row>
    <row r="389" customFormat="false" ht="15" hidden="false" customHeight="false" outlineLevel="2" collapsed="false">
      <c r="A389" s="16"/>
      <c r="B389" s="16"/>
      <c r="C389" s="16" t="s">
        <v>2322</v>
      </c>
      <c r="D389" s="16"/>
      <c r="E389" s="16"/>
      <c r="F389" s="17" t="s">
        <v>2321</v>
      </c>
    </row>
    <row r="390" customFormat="false" ht="15" hidden="false" customHeight="false" outlineLevel="2" collapsed="false">
      <c r="A390" s="16"/>
      <c r="B390" s="16"/>
      <c r="C390" s="16" t="s">
        <v>2327</v>
      </c>
      <c r="D390" s="16"/>
      <c r="E390" s="16"/>
      <c r="F390" s="17" t="s">
        <v>2326</v>
      </c>
    </row>
    <row r="391" customFormat="false" ht="15" hidden="false" customHeight="false" outlineLevel="1" collapsed="false">
      <c r="A391" s="16"/>
      <c r="B391" s="16" t="s">
        <v>2332</v>
      </c>
      <c r="C391" s="16"/>
      <c r="D391" s="16"/>
      <c r="E391" s="16"/>
      <c r="F391" s="17" t="s">
        <v>2331</v>
      </c>
    </row>
    <row r="392" customFormat="false" ht="15" hidden="false" customHeight="false" outlineLevel="1" collapsed="false">
      <c r="A392" s="16"/>
      <c r="B392" s="16" t="s">
        <v>2339</v>
      </c>
      <c r="C392" s="16"/>
      <c r="D392" s="16"/>
      <c r="E392" s="16"/>
      <c r="F392" s="17" t="s">
        <v>2338</v>
      </c>
    </row>
    <row r="393" customFormat="false" ht="15" hidden="false" customHeight="false" outlineLevel="2" collapsed="false">
      <c r="A393" s="16"/>
      <c r="B393" s="16"/>
      <c r="C393" s="16" t="s">
        <v>2344</v>
      </c>
      <c r="D393" s="16"/>
      <c r="E393" s="16"/>
      <c r="F393" s="17" t="s">
        <v>2343</v>
      </c>
    </row>
    <row r="394" customFormat="false" ht="15" hidden="false" customHeight="false" outlineLevel="2" collapsed="false">
      <c r="A394" s="16"/>
      <c r="B394" s="16"/>
      <c r="C394" s="16" t="s">
        <v>2351</v>
      </c>
      <c r="D394" s="16"/>
      <c r="E394" s="16"/>
      <c r="F394" s="17" t="s">
        <v>2350</v>
      </c>
    </row>
    <row r="395" customFormat="false" ht="15" hidden="false" customHeight="false" outlineLevel="1" collapsed="false">
      <c r="A395" s="16"/>
      <c r="B395" s="16" t="s">
        <v>2356</v>
      </c>
      <c r="C395" s="16"/>
      <c r="D395" s="16"/>
      <c r="E395" s="16"/>
      <c r="F395" s="17" t="s">
        <v>2355</v>
      </c>
    </row>
    <row r="396" customFormat="false" ht="15" hidden="false" customHeight="false" outlineLevel="2" collapsed="false">
      <c r="A396" s="16"/>
      <c r="B396" s="16"/>
      <c r="C396" s="16" t="s">
        <v>2362</v>
      </c>
      <c r="D396" s="16"/>
      <c r="E396" s="16"/>
      <c r="F396" s="17" t="s">
        <v>2361</v>
      </c>
    </row>
    <row r="397" customFormat="false" ht="15" hidden="false" customHeight="false" outlineLevel="2" collapsed="false">
      <c r="A397" s="16"/>
      <c r="B397" s="16"/>
      <c r="C397" s="16" t="s">
        <v>2368</v>
      </c>
      <c r="D397" s="16"/>
      <c r="E397" s="16"/>
      <c r="F397" s="17" t="s">
        <v>2367</v>
      </c>
    </row>
    <row r="398" customFormat="false" ht="15" hidden="false" customHeight="false" outlineLevel="2" collapsed="false">
      <c r="A398" s="16"/>
      <c r="B398" s="16"/>
      <c r="C398" s="16" t="s">
        <v>2373</v>
      </c>
      <c r="D398" s="16"/>
      <c r="E398" s="16"/>
      <c r="F398" s="17" t="s">
        <v>2372</v>
      </c>
    </row>
    <row r="399" customFormat="false" ht="15" hidden="false" customHeight="false" outlineLevel="1" collapsed="false">
      <c r="A399" s="16"/>
      <c r="B399" s="16" t="s">
        <v>2379</v>
      </c>
      <c r="C399" s="16"/>
      <c r="D399" s="16"/>
      <c r="E399" s="16"/>
      <c r="F399" s="17" t="s">
        <v>2378</v>
      </c>
    </row>
    <row r="400" customFormat="false" ht="15" hidden="false" customHeight="false" outlineLevel="1" collapsed="false">
      <c r="A400" s="16"/>
      <c r="B400" s="16" t="s">
        <v>2385</v>
      </c>
      <c r="C400" s="16"/>
      <c r="D400" s="16"/>
      <c r="E400" s="16"/>
      <c r="F400" s="17" t="s">
        <v>2384</v>
      </c>
    </row>
    <row r="401" customFormat="false" ht="15" hidden="false" customHeight="false" outlineLevel="0" collapsed="false">
      <c r="A401" s="14" t="s">
        <v>2391</v>
      </c>
      <c r="B401" s="14"/>
      <c r="C401" s="14"/>
      <c r="D401" s="14"/>
      <c r="E401" s="14"/>
      <c r="F401" s="15" t="s">
        <v>2390</v>
      </c>
    </row>
    <row r="402" customFormat="false" ht="15" hidden="false" customHeight="false" outlineLevel="1" collapsed="false">
      <c r="A402" s="16"/>
      <c r="B402" s="16" t="s">
        <v>2396</v>
      </c>
      <c r="C402" s="16"/>
      <c r="D402" s="16"/>
      <c r="E402" s="16"/>
      <c r="F402" s="17" t="s">
        <v>2395</v>
      </c>
    </row>
    <row r="403" customFormat="false" ht="15" hidden="false" customHeight="false" outlineLevel="2" collapsed="false">
      <c r="A403" s="16"/>
      <c r="B403" s="16"/>
      <c r="C403" s="16" t="s">
        <v>2401</v>
      </c>
      <c r="D403" s="16"/>
      <c r="E403" s="16"/>
      <c r="F403" s="17" t="s">
        <v>2400</v>
      </c>
    </row>
    <row r="404" customFormat="false" ht="15" hidden="false" customHeight="false" outlineLevel="3" collapsed="false">
      <c r="A404" s="16"/>
      <c r="B404" s="16"/>
      <c r="C404" s="16"/>
      <c r="D404" s="16" t="s">
        <v>2407</v>
      </c>
      <c r="E404" s="16"/>
      <c r="F404" s="17" t="s">
        <v>2406</v>
      </c>
    </row>
    <row r="405" customFormat="false" ht="15" hidden="false" customHeight="false" outlineLevel="3" collapsed="false">
      <c r="A405" s="16"/>
      <c r="B405" s="16"/>
      <c r="C405" s="16"/>
      <c r="D405" s="16" t="s">
        <v>2412</v>
      </c>
      <c r="E405" s="16"/>
      <c r="F405" s="17" t="s">
        <v>2411</v>
      </c>
    </row>
    <row r="406" customFormat="false" ht="15" hidden="false" customHeight="false" outlineLevel="3" collapsed="false">
      <c r="A406" s="16"/>
      <c r="B406" s="16"/>
      <c r="C406" s="16"/>
      <c r="D406" s="16" t="s">
        <v>2417</v>
      </c>
      <c r="E406" s="16"/>
      <c r="F406" s="17" t="s">
        <v>2416</v>
      </c>
    </row>
    <row r="407" customFormat="false" ht="15" hidden="false" customHeight="false" outlineLevel="2" collapsed="false">
      <c r="A407" s="16"/>
      <c r="B407" s="16"/>
      <c r="C407" s="16" t="s">
        <v>2423</v>
      </c>
      <c r="D407" s="16"/>
      <c r="E407" s="16"/>
      <c r="F407" s="17" t="s">
        <v>2422</v>
      </c>
    </row>
    <row r="408" customFormat="false" ht="15" hidden="false" customHeight="false" outlineLevel="3" collapsed="false">
      <c r="A408" s="16"/>
      <c r="B408" s="16"/>
      <c r="C408" s="16"/>
      <c r="D408" s="16" t="s">
        <v>2430</v>
      </c>
      <c r="E408" s="16"/>
      <c r="F408" s="17" t="s">
        <v>2429</v>
      </c>
    </row>
    <row r="409" customFormat="false" ht="15" hidden="false" customHeight="false" outlineLevel="3" collapsed="false">
      <c r="A409" s="16"/>
      <c r="B409" s="16"/>
      <c r="C409" s="16"/>
      <c r="D409" s="16" t="s">
        <v>2436</v>
      </c>
      <c r="E409" s="16"/>
      <c r="F409" s="17" t="s">
        <v>2435</v>
      </c>
    </row>
    <row r="410" customFormat="false" ht="15" hidden="false" customHeight="false" outlineLevel="2" collapsed="false">
      <c r="A410" s="16"/>
      <c r="B410" s="16"/>
      <c r="C410" s="16" t="s">
        <v>2442</v>
      </c>
      <c r="D410" s="16"/>
      <c r="E410" s="16"/>
      <c r="F410" s="17" t="s">
        <v>2441</v>
      </c>
    </row>
    <row r="411" customFormat="false" ht="15" hidden="false" customHeight="false" outlineLevel="1" collapsed="false">
      <c r="A411" s="16"/>
      <c r="B411" s="16" t="s">
        <v>2449</v>
      </c>
      <c r="C411" s="16"/>
      <c r="D411" s="16"/>
      <c r="E411" s="16"/>
      <c r="F411" s="17" t="s">
        <v>2448</v>
      </c>
    </row>
    <row r="412" customFormat="false" ht="15" hidden="false" customHeight="false" outlineLevel="2" collapsed="false">
      <c r="A412" s="16"/>
      <c r="B412" s="16"/>
      <c r="C412" s="16" t="s">
        <v>2454</v>
      </c>
      <c r="D412" s="16"/>
      <c r="E412" s="16"/>
      <c r="F412" s="17" t="s">
        <v>2453</v>
      </c>
    </row>
    <row r="413" customFormat="false" ht="15" hidden="false" customHeight="false" outlineLevel="3" collapsed="false">
      <c r="A413" s="16"/>
      <c r="B413" s="16"/>
      <c r="C413" s="16"/>
      <c r="D413" s="16" t="s">
        <v>2460</v>
      </c>
      <c r="E413" s="16"/>
      <c r="F413" s="17" t="s">
        <v>2459</v>
      </c>
    </row>
    <row r="414" customFormat="false" ht="15" hidden="false" customHeight="false" outlineLevel="3" collapsed="false">
      <c r="A414" s="16"/>
      <c r="B414" s="16"/>
      <c r="C414" s="16"/>
      <c r="D414" s="16" t="s">
        <v>2465</v>
      </c>
      <c r="E414" s="16"/>
      <c r="F414" s="17" t="s">
        <v>2464</v>
      </c>
    </row>
    <row r="415" customFormat="false" ht="15" hidden="false" customHeight="false" outlineLevel="3" collapsed="false">
      <c r="A415" s="16"/>
      <c r="B415" s="16"/>
      <c r="C415" s="16"/>
      <c r="D415" s="16" t="s">
        <v>2470</v>
      </c>
      <c r="E415" s="16"/>
      <c r="F415" s="17" t="s">
        <v>2469</v>
      </c>
    </row>
    <row r="416" customFormat="false" ht="15" hidden="false" customHeight="false" outlineLevel="2" collapsed="false">
      <c r="A416" s="16"/>
      <c r="B416" s="16"/>
      <c r="C416" s="16" t="s">
        <v>2476</v>
      </c>
      <c r="D416" s="16"/>
      <c r="E416" s="16"/>
      <c r="F416" s="17" t="s">
        <v>2475</v>
      </c>
    </row>
    <row r="417" customFormat="false" ht="15" hidden="false" customHeight="false" outlineLevel="2" collapsed="false">
      <c r="A417" s="16"/>
      <c r="B417" s="16"/>
      <c r="C417" s="16" t="s">
        <v>2482</v>
      </c>
      <c r="D417" s="16"/>
      <c r="E417" s="16"/>
      <c r="F417" s="17" t="s">
        <v>2481</v>
      </c>
    </row>
    <row r="418" customFormat="false" ht="15" hidden="false" customHeight="false" outlineLevel="2" collapsed="false">
      <c r="A418" s="16"/>
      <c r="B418" s="16"/>
      <c r="C418" s="16" t="s">
        <v>2489</v>
      </c>
      <c r="D418" s="16"/>
      <c r="E418" s="16"/>
      <c r="F418" s="17" t="s">
        <v>2488</v>
      </c>
    </row>
    <row r="419" customFormat="false" ht="15" hidden="false" customHeight="false" outlineLevel="1" collapsed="false">
      <c r="A419" s="16"/>
      <c r="B419" s="16" t="s">
        <v>2495</v>
      </c>
      <c r="C419" s="16"/>
      <c r="D419" s="16"/>
      <c r="E419" s="16"/>
      <c r="F419" s="17" t="s">
        <v>2494</v>
      </c>
    </row>
    <row r="420" customFormat="false" ht="15" hidden="false" customHeight="false" outlineLevel="2" collapsed="false">
      <c r="A420" s="16"/>
      <c r="B420" s="16"/>
      <c r="C420" s="16" t="s">
        <v>2501</v>
      </c>
      <c r="D420" s="16"/>
      <c r="E420" s="16"/>
      <c r="F420" s="17" t="s">
        <v>2500</v>
      </c>
    </row>
    <row r="421" customFormat="false" ht="15" hidden="false" customHeight="false" outlineLevel="2" collapsed="false">
      <c r="A421" s="16"/>
      <c r="B421" s="16"/>
      <c r="C421" s="16" t="s">
        <v>2506</v>
      </c>
      <c r="D421" s="16"/>
      <c r="E421" s="16"/>
      <c r="F421" s="17" t="s">
        <v>2505</v>
      </c>
    </row>
    <row r="422" customFormat="false" ht="15" hidden="false" customHeight="false" outlineLevel="2" collapsed="false">
      <c r="A422" s="16"/>
      <c r="B422" s="16"/>
      <c r="C422" s="16" t="s">
        <v>2512</v>
      </c>
      <c r="D422" s="16"/>
      <c r="E422" s="16"/>
      <c r="F422" s="17" t="s">
        <v>2511</v>
      </c>
    </row>
    <row r="423" customFormat="false" ht="15" hidden="false" customHeight="false" outlineLevel="1" collapsed="false">
      <c r="A423" s="16"/>
      <c r="B423" s="16" t="s">
        <v>2518</v>
      </c>
      <c r="C423" s="16"/>
      <c r="D423" s="16"/>
      <c r="E423" s="16"/>
      <c r="F423" s="17" t="s">
        <v>2517</v>
      </c>
    </row>
    <row r="424" customFormat="false" ht="15" hidden="false" customHeight="false" outlineLevel="2" collapsed="false">
      <c r="A424" s="16"/>
      <c r="B424" s="16"/>
      <c r="C424" s="16" t="s">
        <v>2524</v>
      </c>
      <c r="D424" s="16"/>
      <c r="E424" s="16"/>
      <c r="F424" s="17" t="s">
        <v>2523</v>
      </c>
    </row>
    <row r="425" customFormat="false" ht="15" hidden="false" customHeight="false" outlineLevel="3" collapsed="false">
      <c r="A425" s="16"/>
      <c r="B425" s="16"/>
      <c r="C425" s="16"/>
      <c r="D425" s="16" t="s">
        <v>2530</v>
      </c>
      <c r="E425" s="16"/>
      <c r="F425" s="17" t="s">
        <v>2529</v>
      </c>
    </row>
    <row r="426" customFormat="false" ht="15" hidden="false" customHeight="false" outlineLevel="3" collapsed="false">
      <c r="A426" s="16"/>
      <c r="B426" s="16"/>
      <c r="C426" s="16"/>
      <c r="D426" s="16" t="s">
        <v>2535</v>
      </c>
      <c r="E426" s="16"/>
      <c r="F426" s="17" t="s">
        <v>2534</v>
      </c>
    </row>
    <row r="427" customFormat="false" ht="15" hidden="false" customHeight="false" outlineLevel="3" collapsed="false">
      <c r="A427" s="16"/>
      <c r="B427" s="16"/>
      <c r="C427" s="16"/>
      <c r="D427" s="16" t="s">
        <v>2540</v>
      </c>
      <c r="E427" s="16"/>
      <c r="F427" s="17" t="s">
        <v>2539</v>
      </c>
    </row>
    <row r="428" customFormat="false" ht="15" hidden="false" customHeight="false" outlineLevel="3" collapsed="false">
      <c r="A428" s="16"/>
      <c r="B428" s="16"/>
      <c r="C428" s="16"/>
      <c r="D428" s="16" t="s">
        <v>2546</v>
      </c>
      <c r="E428" s="16"/>
      <c r="F428" s="17" t="s">
        <v>2545</v>
      </c>
    </row>
    <row r="429" customFormat="false" ht="15" hidden="false" customHeight="false" outlineLevel="2" collapsed="false">
      <c r="A429" s="16"/>
      <c r="B429" s="16"/>
      <c r="C429" s="16" t="s">
        <v>2551</v>
      </c>
      <c r="D429" s="16"/>
      <c r="E429" s="16"/>
      <c r="F429" s="17" t="s">
        <v>2550</v>
      </c>
    </row>
    <row r="430" customFormat="false" ht="15" hidden="false" customHeight="false" outlineLevel="3" collapsed="false">
      <c r="A430" s="16"/>
      <c r="B430" s="16"/>
      <c r="C430" s="16"/>
      <c r="D430" s="16" t="s">
        <v>2557</v>
      </c>
      <c r="E430" s="16"/>
      <c r="F430" s="17" t="s">
        <v>2556</v>
      </c>
    </row>
    <row r="431" customFormat="false" ht="15" hidden="false" customHeight="false" outlineLevel="3" collapsed="false">
      <c r="A431" s="16"/>
      <c r="B431" s="16"/>
      <c r="C431" s="16"/>
      <c r="D431" s="16" t="s">
        <v>2562</v>
      </c>
      <c r="E431" s="16"/>
      <c r="F431" s="17" t="s">
        <v>2561</v>
      </c>
    </row>
    <row r="432" customFormat="false" ht="15" hidden="false" customHeight="false" outlineLevel="3" collapsed="false">
      <c r="A432" s="16"/>
      <c r="B432" s="16"/>
      <c r="C432" s="16"/>
      <c r="D432" s="16" t="s">
        <v>2567</v>
      </c>
      <c r="E432" s="16"/>
      <c r="F432" s="17" t="s">
        <v>2566</v>
      </c>
    </row>
    <row r="433" customFormat="false" ht="15" hidden="false" customHeight="false" outlineLevel="3" collapsed="false">
      <c r="A433" s="16"/>
      <c r="B433" s="16"/>
      <c r="C433" s="16"/>
      <c r="D433" s="16" t="s">
        <v>2573</v>
      </c>
      <c r="E433" s="16"/>
      <c r="F433" s="17" t="s">
        <v>2572</v>
      </c>
    </row>
    <row r="434" customFormat="false" ht="15" hidden="false" customHeight="false" outlineLevel="3" collapsed="false">
      <c r="A434" s="16"/>
      <c r="B434" s="16"/>
      <c r="C434" s="16"/>
      <c r="D434" s="16" t="s">
        <v>2578</v>
      </c>
      <c r="E434" s="16"/>
      <c r="F434" s="17" t="s">
        <v>2577</v>
      </c>
    </row>
    <row r="435" customFormat="false" ht="15" hidden="false" customHeight="false" outlineLevel="3" collapsed="false">
      <c r="A435" s="16"/>
      <c r="B435" s="16"/>
      <c r="C435" s="16"/>
      <c r="D435" s="16" t="s">
        <v>2584</v>
      </c>
      <c r="E435" s="16"/>
      <c r="F435" s="17" t="s">
        <v>2583</v>
      </c>
    </row>
    <row r="436" customFormat="false" ht="15" hidden="false" customHeight="false" outlineLevel="1" collapsed="false">
      <c r="A436" s="16"/>
      <c r="B436" s="16" t="s">
        <v>2590</v>
      </c>
      <c r="C436" s="16"/>
      <c r="D436" s="16"/>
      <c r="E436" s="16"/>
      <c r="F436" s="17" t="s">
        <v>2589</v>
      </c>
    </row>
    <row r="437" customFormat="false" ht="15" hidden="false" customHeight="false" outlineLevel="2" collapsed="false">
      <c r="A437" s="16"/>
      <c r="B437" s="16"/>
      <c r="C437" s="16" t="s">
        <v>2596</v>
      </c>
      <c r="D437" s="16"/>
      <c r="E437" s="16"/>
      <c r="F437" s="17" t="s">
        <v>2595</v>
      </c>
    </row>
    <row r="438" customFormat="false" ht="15" hidden="false" customHeight="false" outlineLevel="2" collapsed="false">
      <c r="A438" s="16"/>
      <c r="B438" s="16"/>
      <c r="C438" s="16" t="s">
        <v>2602</v>
      </c>
      <c r="D438" s="16"/>
      <c r="E438" s="16"/>
      <c r="F438" s="17" t="s">
        <v>2601</v>
      </c>
    </row>
    <row r="439" customFormat="false" ht="15" hidden="false" customHeight="false" outlineLevel="2" collapsed="false">
      <c r="A439" s="16"/>
      <c r="B439" s="16"/>
      <c r="C439" s="16" t="s">
        <v>2608</v>
      </c>
      <c r="D439" s="16"/>
      <c r="E439" s="16"/>
      <c r="F439" s="17" t="s">
        <v>2607</v>
      </c>
    </row>
    <row r="440" customFormat="false" ht="15" hidden="false" customHeight="false" outlineLevel="2" collapsed="false">
      <c r="A440" s="16"/>
      <c r="B440" s="16"/>
      <c r="C440" s="16" t="s">
        <v>2613</v>
      </c>
      <c r="D440" s="16"/>
      <c r="E440" s="16"/>
      <c r="F440" s="17" t="s">
        <v>2612</v>
      </c>
    </row>
    <row r="441" customFormat="false" ht="15" hidden="false" customHeight="false" outlineLevel="2" collapsed="false">
      <c r="A441" s="16"/>
      <c r="B441" s="16"/>
      <c r="C441" s="16" t="s">
        <v>2618</v>
      </c>
      <c r="D441" s="16"/>
      <c r="E441" s="16"/>
      <c r="F441" s="17" t="s">
        <v>2617</v>
      </c>
    </row>
    <row r="442" customFormat="false" ht="15" hidden="false" customHeight="false" outlineLevel="2" collapsed="false">
      <c r="A442" s="16"/>
      <c r="B442" s="16"/>
      <c r="C442" s="16" t="s">
        <v>2623</v>
      </c>
      <c r="D442" s="16"/>
      <c r="E442" s="16"/>
      <c r="F442" s="17" t="s">
        <v>2622</v>
      </c>
    </row>
    <row r="443" customFormat="false" ht="15" hidden="false" customHeight="false" outlineLevel="2" collapsed="false">
      <c r="A443" s="16"/>
      <c r="B443" s="16"/>
      <c r="C443" s="16" t="s">
        <v>2629</v>
      </c>
      <c r="D443" s="16"/>
      <c r="E443" s="16"/>
      <c r="F443" s="17" t="s">
        <v>2628</v>
      </c>
    </row>
    <row r="444" customFormat="false" ht="15" hidden="false" customHeight="false" outlineLevel="1" collapsed="false">
      <c r="A444" s="16"/>
      <c r="B444" s="16" t="s">
        <v>2636</v>
      </c>
      <c r="C444" s="16"/>
      <c r="D444" s="16"/>
      <c r="E444" s="16"/>
      <c r="F444" s="17" t="s">
        <v>2635</v>
      </c>
    </row>
    <row r="445" customFormat="false" ht="15" hidden="false" customHeight="false" outlineLevel="0" collapsed="false">
      <c r="A445" s="14" t="s">
        <v>2643</v>
      </c>
      <c r="B445" s="14"/>
      <c r="C445" s="14"/>
      <c r="D445" s="14"/>
      <c r="E445" s="14"/>
      <c r="F445" s="15" t="s">
        <v>2642</v>
      </c>
    </row>
    <row r="446" customFormat="false" ht="15" hidden="false" customHeight="false" outlineLevel="1" collapsed="false">
      <c r="A446" s="16"/>
      <c r="B446" s="16" t="s">
        <v>2649</v>
      </c>
      <c r="C446" s="16"/>
      <c r="D446" s="16"/>
      <c r="E446" s="16"/>
      <c r="F446" s="17" t="s">
        <v>2648</v>
      </c>
    </row>
    <row r="447" customFormat="false" ht="15" hidden="false" customHeight="false" outlineLevel="2" collapsed="false">
      <c r="A447" s="16"/>
      <c r="B447" s="16"/>
      <c r="C447" s="16" t="s">
        <v>2656</v>
      </c>
      <c r="D447" s="16"/>
      <c r="E447" s="16"/>
      <c r="F447" s="17" t="s">
        <v>2655</v>
      </c>
    </row>
    <row r="448" customFormat="false" ht="15" hidden="false" customHeight="false" outlineLevel="2" collapsed="false">
      <c r="A448" s="16"/>
      <c r="B448" s="16"/>
      <c r="C448" s="16" t="s">
        <v>2662</v>
      </c>
      <c r="D448" s="16"/>
      <c r="E448" s="16"/>
      <c r="F448" s="17" t="s">
        <v>2661</v>
      </c>
    </row>
    <row r="449" customFormat="false" ht="15" hidden="false" customHeight="false" outlineLevel="3" collapsed="false">
      <c r="A449" s="16"/>
      <c r="B449" s="16"/>
      <c r="C449" s="16"/>
      <c r="D449" s="16" t="s">
        <v>2668</v>
      </c>
      <c r="E449" s="16"/>
      <c r="F449" s="17" t="s">
        <v>2667</v>
      </c>
    </row>
    <row r="450" customFormat="false" ht="15" hidden="false" customHeight="false" outlineLevel="2" collapsed="false">
      <c r="A450" s="16"/>
      <c r="B450" s="16"/>
      <c r="C450" s="16" t="s">
        <v>2673</v>
      </c>
      <c r="D450" s="16"/>
      <c r="E450" s="16"/>
      <c r="F450" s="17" t="s">
        <v>2672</v>
      </c>
    </row>
    <row r="451" customFormat="false" ht="15" hidden="false" customHeight="false" outlineLevel="3" collapsed="false">
      <c r="A451" s="16"/>
      <c r="B451" s="16"/>
      <c r="C451" s="16"/>
      <c r="D451" s="16" t="s">
        <v>2678</v>
      </c>
      <c r="E451" s="16"/>
      <c r="F451" s="17" t="s">
        <v>2677</v>
      </c>
    </row>
    <row r="452" customFormat="false" ht="15" hidden="false" customHeight="false" outlineLevel="3" collapsed="false">
      <c r="A452" s="16"/>
      <c r="B452" s="16"/>
      <c r="C452" s="16"/>
      <c r="D452" s="16" t="s">
        <v>2683</v>
      </c>
      <c r="E452" s="16"/>
      <c r="F452" s="17" t="s">
        <v>2682</v>
      </c>
    </row>
    <row r="453" customFormat="false" ht="15" hidden="false" customHeight="false" outlineLevel="2" collapsed="false">
      <c r="A453" s="16"/>
      <c r="B453" s="16"/>
      <c r="C453" s="16" t="s">
        <v>2688</v>
      </c>
      <c r="D453" s="16"/>
      <c r="E453" s="16"/>
      <c r="F453" s="17" t="s">
        <v>2687</v>
      </c>
    </row>
    <row r="454" customFormat="false" ht="15" hidden="false" customHeight="false" outlineLevel="2" collapsed="false">
      <c r="A454" s="16"/>
      <c r="B454" s="16"/>
      <c r="C454" s="16" t="s">
        <v>2695</v>
      </c>
      <c r="D454" s="16"/>
      <c r="E454" s="16"/>
      <c r="F454" s="17" t="s">
        <v>2694</v>
      </c>
    </row>
    <row r="455" customFormat="false" ht="15" hidden="false" customHeight="false" outlineLevel="2" collapsed="false">
      <c r="A455" s="16"/>
      <c r="B455" s="16"/>
      <c r="C455" s="16" t="s">
        <v>2700</v>
      </c>
      <c r="D455" s="16"/>
      <c r="E455" s="16"/>
      <c r="F455" s="17" t="s">
        <v>2699</v>
      </c>
    </row>
    <row r="456" customFormat="false" ht="15" hidden="false" customHeight="false" outlineLevel="2" collapsed="false">
      <c r="A456" s="16"/>
      <c r="B456" s="16"/>
      <c r="C456" s="16" t="s">
        <v>2705</v>
      </c>
      <c r="D456" s="16"/>
      <c r="E456" s="16"/>
      <c r="F456" s="17" t="s">
        <v>2704</v>
      </c>
    </row>
    <row r="457" customFormat="false" ht="15" hidden="false" customHeight="false" outlineLevel="2" collapsed="false">
      <c r="A457" s="16"/>
      <c r="B457" s="16"/>
      <c r="C457" s="16" t="s">
        <v>2710</v>
      </c>
      <c r="D457" s="16"/>
      <c r="E457" s="16"/>
      <c r="F457" s="17" t="s">
        <v>2709</v>
      </c>
    </row>
    <row r="458" customFormat="false" ht="15" hidden="false" customHeight="false" outlineLevel="2" collapsed="false">
      <c r="A458" s="16"/>
      <c r="B458" s="16"/>
      <c r="C458" s="16" t="s">
        <v>2716</v>
      </c>
      <c r="D458" s="16"/>
      <c r="E458" s="16"/>
      <c r="F458" s="17" t="s">
        <v>2715</v>
      </c>
    </row>
    <row r="459" customFormat="false" ht="15" hidden="false" customHeight="false" outlineLevel="1" collapsed="false">
      <c r="A459" s="16"/>
      <c r="B459" s="16" t="s">
        <v>2721</v>
      </c>
      <c r="C459" s="16"/>
      <c r="D459" s="16"/>
      <c r="E459" s="16"/>
      <c r="F459" s="17" t="s">
        <v>2720</v>
      </c>
    </row>
    <row r="460" customFormat="false" ht="15" hidden="false" customHeight="false" outlineLevel="1" collapsed="false">
      <c r="A460" s="16"/>
      <c r="B460" s="16" t="s">
        <v>2727</v>
      </c>
      <c r="C460" s="16"/>
      <c r="D460" s="16"/>
      <c r="E460" s="16"/>
      <c r="F460" s="17" t="s">
        <v>2726</v>
      </c>
    </row>
    <row r="461" customFormat="false" ht="15" hidden="false" customHeight="false" outlineLevel="1" collapsed="false">
      <c r="A461" s="16"/>
      <c r="B461" s="16" t="s">
        <v>2732</v>
      </c>
      <c r="C461" s="16"/>
      <c r="D461" s="16"/>
      <c r="E461" s="16"/>
      <c r="F461" s="17" t="s">
        <v>2731</v>
      </c>
    </row>
    <row r="462" customFormat="false" ht="15" hidden="false" customHeight="false" outlineLevel="2" collapsed="false">
      <c r="A462" s="16"/>
      <c r="B462" s="16"/>
      <c r="C462" s="16" t="s">
        <v>2737</v>
      </c>
      <c r="D462" s="16"/>
      <c r="E462" s="16"/>
      <c r="F462" s="17" t="s">
        <v>2736</v>
      </c>
    </row>
    <row r="463" customFormat="false" ht="15" hidden="false" customHeight="false" outlineLevel="2" collapsed="false">
      <c r="A463" s="16"/>
      <c r="B463" s="16"/>
      <c r="C463" s="16" t="s">
        <v>2742</v>
      </c>
      <c r="D463" s="16"/>
      <c r="E463" s="16"/>
      <c r="F463" s="17" t="s">
        <v>2741</v>
      </c>
    </row>
    <row r="464" customFormat="false" ht="15" hidden="false" customHeight="false" outlineLevel="2" collapsed="false">
      <c r="A464" s="16"/>
      <c r="B464" s="16"/>
      <c r="C464" s="16" t="s">
        <v>2748</v>
      </c>
      <c r="D464" s="16"/>
      <c r="E464" s="16"/>
      <c r="F464" s="17" t="s">
        <v>2747</v>
      </c>
    </row>
    <row r="465" customFormat="false" ht="15" hidden="false" customHeight="false" outlineLevel="2" collapsed="false">
      <c r="A465" s="16"/>
      <c r="B465" s="16"/>
      <c r="C465" s="16" t="s">
        <v>2753</v>
      </c>
      <c r="D465" s="16"/>
      <c r="E465" s="16"/>
      <c r="F465" s="17" t="s">
        <v>2752</v>
      </c>
    </row>
    <row r="466" customFormat="false" ht="15" hidden="false" customHeight="false" outlineLevel="1" collapsed="false">
      <c r="A466" s="16"/>
      <c r="B466" s="16" t="s">
        <v>2758</v>
      </c>
      <c r="C466" s="16"/>
      <c r="D466" s="16"/>
      <c r="E466" s="16"/>
      <c r="F466" s="17" t="s">
        <v>2757</v>
      </c>
    </row>
    <row r="467" customFormat="false" ht="15" hidden="false" customHeight="false" outlineLevel="1" collapsed="false">
      <c r="A467" s="16"/>
      <c r="B467" s="16" t="s">
        <v>2763</v>
      </c>
      <c r="C467" s="16"/>
      <c r="D467" s="16"/>
      <c r="E467" s="16"/>
      <c r="F467" s="17" t="s">
        <v>2762</v>
      </c>
    </row>
    <row r="468" customFormat="false" ht="15" hidden="false" customHeight="false" outlineLevel="1" collapsed="false">
      <c r="A468" s="16"/>
      <c r="B468" s="16" t="s">
        <v>2769</v>
      </c>
      <c r="C468" s="16"/>
      <c r="D468" s="16"/>
      <c r="E468" s="16"/>
      <c r="F468" s="17" t="s">
        <v>2768</v>
      </c>
    </row>
    <row r="469" customFormat="false" ht="15" hidden="false" customHeight="false" outlineLevel="1" collapsed="false">
      <c r="A469" s="16"/>
      <c r="B469" s="16" t="s">
        <v>2776</v>
      </c>
      <c r="C469" s="16"/>
      <c r="D469" s="16"/>
      <c r="E469" s="16"/>
      <c r="F469" s="17" t="s">
        <v>2775</v>
      </c>
    </row>
    <row r="470" customFormat="false" ht="15" hidden="false" customHeight="false" outlineLevel="0" collapsed="false">
      <c r="A470" s="14" t="s">
        <v>2783</v>
      </c>
      <c r="B470" s="14"/>
      <c r="C470" s="14"/>
      <c r="D470" s="14"/>
      <c r="E470" s="14"/>
      <c r="F470" s="15" t="s">
        <v>2782</v>
      </c>
    </row>
    <row r="471" customFormat="false" ht="15" hidden="false" customHeight="false" outlineLevel="1" collapsed="false">
      <c r="A471" s="16"/>
      <c r="B471" s="16" t="s">
        <v>2789</v>
      </c>
      <c r="C471" s="16"/>
      <c r="D471" s="16"/>
      <c r="E471" s="16"/>
      <c r="F471" s="17" t="s">
        <v>2788</v>
      </c>
    </row>
    <row r="472" customFormat="false" ht="15" hidden="false" customHeight="false" outlineLevel="2" collapsed="false">
      <c r="A472" s="16"/>
      <c r="B472" s="16"/>
      <c r="C472" s="16" t="s">
        <v>2796</v>
      </c>
      <c r="D472" s="16"/>
      <c r="E472" s="16"/>
      <c r="F472" s="17" t="s">
        <v>2795</v>
      </c>
    </row>
    <row r="473" customFormat="false" ht="15" hidden="false" customHeight="false" outlineLevel="2" collapsed="false">
      <c r="A473" s="16"/>
      <c r="B473" s="16"/>
      <c r="C473" s="16" t="s">
        <v>2802</v>
      </c>
      <c r="D473" s="16"/>
      <c r="E473" s="16"/>
      <c r="F473" s="17" t="s">
        <v>2801</v>
      </c>
    </row>
    <row r="474" customFormat="false" ht="15" hidden="false" customHeight="false" outlineLevel="2" collapsed="false">
      <c r="A474" s="16"/>
      <c r="B474" s="16"/>
      <c r="C474" s="16" t="s">
        <v>2807</v>
      </c>
      <c r="D474" s="16"/>
      <c r="E474" s="16"/>
      <c r="F474" s="17" t="s">
        <v>2806</v>
      </c>
    </row>
    <row r="475" customFormat="false" ht="15" hidden="false" customHeight="false" outlineLevel="2" collapsed="false">
      <c r="A475" s="16"/>
      <c r="B475" s="16"/>
      <c r="C475" s="16" t="s">
        <v>2813</v>
      </c>
      <c r="D475" s="16"/>
      <c r="E475" s="16"/>
      <c r="F475" s="17" t="s">
        <v>2812</v>
      </c>
    </row>
    <row r="476" customFormat="false" ht="15" hidden="false" customHeight="false" outlineLevel="1" collapsed="false">
      <c r="A476" s="16"/>
      <c r="B476" s="16" t="s">
        <v>2819</v>
      </c>
      <c r="C476" s="16"/>
      <c r="D476" s="16"/>
      <c r="E476" s="16"/>
      <c r="F476" s="17" t="s">
        <v>2818</v>
      </c>
    </row>
    <row r="477" customFormat="false" ht="15" hidden="false" customHeight="false" outlineLevel="2" collapsed="false">
      <c r="A477" s="16"/>
      <c r="B477" s="16"/>
      <c r="C477" s="16" t="s">
        <v>2825</v>
      </c>
      <c r="D477" s="16"/>
      <c r="E477" s="16"/>
      <c r="F477" s="17" t="s">
        <v>2824</v>
      </c>
    </row>
    <row r="478" customFormat="false" ht="15" hidden="false" customHeight="false" outlineLevel="2" collapsed="false">
      <c r="A478" s="16"/>
      <c r="B478" s="16"/>
      <c r="C478" s="16" t="s">
        <v>2832</v>
      </c>
      <c r="D478" s="16"/>
      <c r="E478" s="16"/>
      <c r="F478" s="17" t="s">
        <v>2831</v>
      </c>
    </row>
    <row r="479" customFormat="false" ht="15" hidden="false" customHeight="false" outlineLevel="2" collapsed="false">
      <c r="A479" s="16"/>
      <c r="B479" s="16"/>
      <c r="C479" s="16" t="s">
        <v>2839</v>
      </c>
      <c r="D479" s="16"/>
      <c r="E479" s="16"/>
      <c r="F479" s="17" t="s">
        <v>2838</v>
      </c>
    </row>
    <row r="480" customFormat="false" ht="15" hidden="false" customHeight="false" outlineLevel="2" collapsed="false">
      <c r="A480" s="16"/>
      <c r="B480" s="16"/>
      <c r="C480" s="16" t="s">
        <v>2846</v>
      </c>
      <c r="D480" s="16"/>
      <c r="E480" s="16"/>
      <c r="F480" s="17" t="s">
        <v>2845</v>
      </c>
    </row>
    <row r="481" customFormat="false" ht="15" hidden="false" customHeight="false" outlineLevel="1" collapsed="false">
      <c r="A481" s="16"/>
      <c r="B481" s="16" t="s">
        <v>2851</v>
      </c>
      <c r="C481" s="16"/>
      <c r="D481" s="16"/>
      <c r="E481" s="16"/>
      <c r="F481" s="17" t="s">
        <v>2850</v>
      </c>
    </row>
    <row r="482" customFormat="false" ht="15" hidden="false" customHeight="false" outlineLevel="2" collapsed="false">
      <c r="A482" s="16"/>
      <c r="B482" s="16"/>
      <c r="C482" s="16" t="s">
        <v>2858</v>
      </c>
      <c r="D482" s="16"/>
      <c r="E482" s="16"/>
      <c r="F482" s="17" t="s">
        <v>2857</v>
      </c>
    </row>
    <row r="483" customFormat="false" ht="15" hidden="false" customHeight="false" outlineLevel="2" collapsed="false">
      <c r="A483" s="16"/>
      <c r="B483" s="16"/>
      <c r="C483" s="16" t="s">
        <v>2863</v>
      </c>
      <c r="D483" s="16"/>
      <c r="E483" s="16"/>
      <c r="F483" s="17" t="s">
        <v>2862</v>
      </c>
    </row>
    <row r="484" customFormat="false" ht="15" hidden="false" customHeight="false" outlineLevel="2" collapsed="false">
      <c r="A484" s="16"/>
      <c r="B484" s="16"/>
      <c r="C484" s="16" t="s">
        <v>2869</v>
      </c>
      <c r="D484" s="16"/>
      <c r="E484" s="16"/>
      <c r="F484" s="17" t="s">
        <v>2868</v>
      </c>
    </row>
    <row r="485" customFormat="false" ht="15" hidden="false" customHeight="false" outlineLevel="1" collapsed="false">
      <c r="A485" s="16"/>
      <c r="B485" s="16" t="s">
        <v>2875</v>
      </c>
      <c r="C485" s="16"/>
      <c r="D485" s="16"/>
      <c r="E485" s="16"/>
      <c r="F485" s="17" t="s">
        <v>2874</v>
      </c>
    </row>
    <row r="486" customFormat="false" ht="15" hidden="false" customHeight="false" outlineLevel="1" collapsed="false">
      <c r="A486" s="16"/>
      <c r="B486" s="16" t="s">
        <v>2882</v>
      </c>
      <c r="C486" s="16"/>
      <c r="D486" s="16"/>
      <c r="E486" s="16"/>
      <c r="F486" s="17" t="s">
        <v>2881</v>
      </c>
    </row>
    <row r="487" customFormat="false" ht="15" hidden="false" customHeight="false" outlineLevel="1" collapsed="false">
      <c r="A487" s="16"/>
      <c r="B487" s="16" t="s">
        <v>2889</v>
      </c>
      <c r="C487" s="16"/>
      <c r="D487" s="16"/>
      <c r="E487" s="16"/>
      <c r="F487" s="17" t="s">
        <v>2888</v>
      </c>
    </row>
    <row r="488" customFormat="false" ht="15" hidden="false" customHeight="false" outlineLevel="1" collapsed="false">
      <c r="A488" s="16"/>
      <c r="B488" s="16" t="s">
        <v>2896</v>
      </c>
      <c r="C488" s="16"/>
      <c r="D488" s="16"/>
      <c r="E488" s="16"/>
      <c r="F488" s="17" t="s">
        <v>2895</v>
      </c>
    </row>
    <row r="489" customFormat="false" ht="15" hidden="false" customHeight="false" outlineLevel="1" collapsed="false">
      <c r="A489" s="16"/>
      <c r="B489" s="16" t="s">
        <v>2902</v>
      </c>
      <c r="C489" s="16"/>
      <c r="D489" s="16"/>
      <c r="E489" s="16"/>
      <c r="F489" s="17" t="s">
        <v>2901</v>
      </c>
    </row>
    <row r="490" customFormat="false" ht="15" hidden="false" customHeight="false" outlineLevel="2" collapsed="false">
      <c r="A490" s="16"/>
      <c r="B490" s="16"/>
      <c r="C490" s="16" t="s">
        <v>2907</v>
      </c>
      <c r="D490" s="16"/>
      <c r="E490" s="16"/>
      <c r="F490" s="17" t="s">
        <v>2906</v>
      </c>
    </row>
    <row r="491" customFormat="false" ht="15" hidden="false" customHeight="false" outlineLevel="2" collapsed="false">
      <c r="A491" s="16"/>
      <c r="B491" s="16"/>
      <c r="C491" s="16" t="s">
        <v>2913</v>
      </c>
      <c r="D491" s="16"/>
      <c r="E491" s="16"/>
      <c r="F491" s="17" t="s">
        <v>2912</v>
      </c>
    </row>
    <row r="492" customFormat="false" ht="15" hidden="false" customHeight="false" outlineLevel="2" collapsed="false">
      <c r="A492" s="16"/>
      <c r="B492" s="16"/>
      <c r="C492" s="16" t="s">
        <v>2919</v>
      </c>
      <c r="D492" s="16"/>
      <c r="E492" s="16"/>
      <c r="F492" s="17" t="s">
        <v>2918</v>
      </c>
    </row>
    <row r="493" customFormat="false" ht="15" hidden="false" customHeight="false" outlineLevel="2" collapsed="false">
      <c r="A493" s="16"/>
      <c r="B493" s="16"/>
      <c r="C493" s="16" t="s">
        <v>2925</v>
      </c>
      <c r="D493" s="16"/>
      <c r="E493" s="16"/>
      <c r="F493" s="17" t="s">
        <v>2924</v>
      </c>
    </row>
    <row r="494" customFormat="false" ht="15" hidden="false" customHeight="false" outlineLevel="2" collapsed="false">
      <c r="A494" s="16"/>
      <c r="B494" s="16"/>
      <c r="C494" s="16" t="s">
        <v>2931</v>
      </c>
      <c r="D494" s="16"/>
      <c r="E494" s="16"/>
      <c r="F494" s="17" t="s">
        <v>2930</v>
      </c>
    </row>
    <row r="495" customFormat="false" ht="15" hidden="false" customHeight="false" outlineLevel="2" collapsed="false">
      <c r="A495" s="16"/>
      <c r="B495" s="16"/>
      <c r="C495" s="16" t="s">
        <v>2937</v>
      </c>
      <c r="D495" s="16"/>
      <c r="E495" s="16"/>
      <c r="F495" s="17" t="s">
        <v>2936</v>
      </c>
    </row>
    <row r="496" customFormat="false" ht="15" hidden="false" customHeight="false" outlineLevel="2" collapsed="false">
      <c r="A496" s="16"/>
      <c r="B496" s="16"/>
      <c r="C496" s="16" t="s">
        <v>2943</v>
      </c>
      <c r="D496" s="16"/>
      <c r="E496" s="16"/>
      <c r="F496" s="17" t="s">
        <v>2942</v>
      </c>
    </row>
    <row r="497" customFormat="false" ht="15" hidden="false" customHeight="false" outlineLevel="2" collapsed="false">
      <c r="A497" s="16"/>
      <c r="B497" s="16"/>
      <c r="C497" s="16" t="s">
        <v>2949</v>
      </c>
      <c r="D497" s="16"/>
      <c r="E497" s="16"/>
      <c r="F497" s="17" t="s">
        <v>2948</v>
      </c>
    </row>
    <row r="498" customFormat="false" ht="15" hidden="false" customHeight="false" outlineLevel="2" collapsed="false">
      <c r="A498" s="16"/>
      <c r="B498" s="16"/>
      <c r="C498" s="16" t="s">
        <v>2954</v>
      </c>
      <c r="D498" s="16"/>
      <c r="E498" s="16"/>
      <c r="F498" s="17" t="s">
        <v>2953</v>
      </c>
    </row>
    <row r="499" customFormat="false" ht="15" hidden="false" customHeight="false" outlineLevel="2" collapsed="false">
      <c r="A499" s="16"/>
      <c r="B499" s="16"/>
      <c r="C499" s="16" t="s">
        <v>2960</v>
      </c>
      <c r="D499" s="16"/>
      <c r="E499" s="16"/>
      <c r="F499" s="17" t="s">
        <v>2959</v>
      </c>
    </row>
    <row r="500" customFormat="false" ht="15" hidden="false" customHeight="false" outlineLevel="2" collapsed="false">
      <c r="A500" s="16"/>
      <c r="B500" s="16"/>
      <c r="C500" s="16" t="s">
        <v>2966</v>
      </c>
      <c r="D500" s="16"/>
      <c r="E500" s="16"/>
      <c r="F500" s="17" t="s">
        <v>2965</v>
      </c>
    </row>
    <row r="501" customFormat="false" ht="15" hidden="false" customHeight="false" outlineLevel="1" collapsed="false">
      <c r="A501" s="16"/>
      <c r="B501" s="16" t="s">
        <v>2972</v>
      </c>
      <c r="C501" s="16"/>
      <c r="D501" s="16"/>
      <c r="E501" s="16"/>
      <c r="F501" s="17" t="s">
        <v>2971</v>
      </c>
    </row>
    <row r="502" customFormat="false" ht="15" hidden="false" customHeight="false" outlineLevel="2" collapsed="false">
      <c r="A502" s="16"/>
      <c r="B502" s="16"/>
      <c r="C502" s="16" t="s">
        <v>2978</v>
      </c>
      <c r="D502" s="16"/>
      <c r="E502" s="16"/>
      <c r="F502" s="17" t="s">
        <v>2977</v>
      </c>
    </row>
    <row r="503" customFormat="false" ht="15" hidden="false" customHeight="false" outlineLevel="2" collapsed="false">
      <c r="A503" s="16"/>
      <c r="B503" s="16"/>
      <c r="C503" s="16" t="s">
        <v>2985</v>
      </c>
      <c r="D503" s="16"/>
      <c r="E503" s="16"/>
      <c r="F503" s="17" t="s">
        <v>2984</v>
      </c>
    </row>
    <row r="504" customFormat="false" ht="15" hidden="false" customHeight="false" outlineLevel="2" collapsed="false">
      <c r="A504" s="16"/>
      <c r="B504" s="16"/>
      <c r="C504" s="16" t="s">
        <v>2992</v>
      </c>
      <c r="D504" s="16"/>
      <c r="E504" s="16"/>
      <c r="F504" s="17" t="s">
        <v>2991</v>
      </c>
    </row>
    <row r="505" customFormat="false" ht="15" hidden="false" customHeight="false" outlineLevel="2" collapsed="false">
      <c r="A505" s="16"/>
      <c r="B505" s="16"/>
      <c r="C505" s="16" t="s">
        <v>2998</v>
      </c>
      <c r="D505" s="16"/>
      <c r="E505" s="16"/>
      <c r="F505" s="17" t="s">
        <v>2997</v>
      </c>
    </row>
    <row r="506" customFormat="false" ht="15" hidden="false" customHeight="false" outlineLevel="0" collapsed="false">
      <c r="A506" s="14" t="s">
        <v>3005</v>
      </c>
      <c r="B506" s="14"/>
      <c r="C506" s="14"/>
      <c r="D506" s="14"/>
      <c r="E506" s="14"/>
      <c r="F506" s="15" t="s">
        <v>3004</v>
      </c>
    </row>
    <row r="507" customFormat="false" ht="15" hidden="false" customHeight="false" outlineLevel="1" collapsed="false">
      <c r="A507" s="16"/>
      <c r="B507" s="16" t="s">
        <v>3011</v>
      </c>
      <c r="C507" s="16"/>
      <c r="D507" s="16"/>
      <c r="E507" s="16"/>
      <c r="F507" s="17" t="s">
        <v>3010</v>
      </c>
    </row>
    <row r="508" customFormat="false" ht="15" hidden="false" customHeight="false" outlineLevel="2" collapsed="false">
      <c r="A508" s="16"/>
      <c r="B508" s="16"/>
      <c r="C508" s="16" t="s">
        <v>3016</v>
      </c>
      <c r="D508" s="16"/>
      <c r="E508" s="16"/>
      <c r="F508" s="17" t="s">
        <v>3015</v>
      </c>
    </row>
    <row r="509" customFormat="false" ht="15" hidden="false" customHeight="false" outlineLevel="2" collapsed="false">
      <c r="A509" s="16"/>
      <c r="B509" s="16"/>
      <c r="C509" s="16" t="s">
        <v>3023</v>
      </c>
      <c r="D509" s="16"/>
      <c r="E509" s="16"/>
      <c r="F509" s="17" t="s">
        <v>3022</v>
      </c>
    </row>
    <row r="510" customFormat="false" ht="15" hidden="false" customHeight="false" outlineLevel="3" collapsed="false">
      <c r="A510" s="16"/>
      <c r="B510" s="16"/>
      <c r="C510" s="16"/>
      <c r="D510" s="16" t="s">
        <v>3029</v>
      </c>
      <c r="E510" s="16"/>
      <c r="F510" s="17" t="s">
        <v>3028</v>
      </c>
    </row>
    <row r="511" customFormat="false" ht="15" hidden="false" customHeight="false" outlineLevel="1" collapsed="false">
      <c r="A511" s="16"/>
      <c r="B511" s="16" t="s">
        <v>3035</v>
      </c>
      <c r="C511" s="16"/>
      <c r="D511" s="16"/>
      <c r="E511" s="16"/>
      <c r="F511" s="17" t="s">
        <v>3034</v>
      </c>
    </row>
    <row r="512" customFormat="false" ht="15" hidden="false" customHeight="false" outlineLevel="2" collapsed="false">
      <c r="A512" s="16"/>
      <c r="B512" s="16"/>
      <c r="C512" s="16" t="s">
        <v>3041</v>
      </c>
      <c r="D512" s="16"/>
      <c r="E512" s="16"/>
      <c r="F512" s="17" t="s">
        <v>3040</v>
      </c>
    </row>
    <row r="513" customFormat="false" ht="15" hidden="false" customHeight="false" outlineLevel="2" collapsed="false">
      <c r="A513" s="16"/>
      <c r="B513" s="16"/>
      <c r="C513" s="16" t="s">
        <v>3047</v>
      </c>
      <c r="D513" s="16"/>
      <c r="E513" s="16"/>
      <c r="F513" s="17" t="s">
        <v>3046</v>
      </c>
    </row>
    <row r="514" customFormat="false" ht="15" hidden="false" customHeight="false" outlineLevel="1" collapsed="false">
      <c r="A514" s="16"/>
      <c r="B514" s="16" t="s">
        <v>3053</v>
      </c>
      <c r="C514" s="16"/>
      <c r="D514" s="16"/>
      <c r="E514" s="16"/>
      <c r="F514" s="17" t="s">
        <v>3052</v>
      </c>
    </row>
    <row r="515" customFormat="false" ht="15" hidden="false" customHeight="false" outlineLevel="2" collapsed="false">
      <c r="A515" s="16"/>
      <c r="B515" s="16"/>
      <c r="C515" s="16" t="s">
        <v>3059</v>
      </c>
      <c r="D515" s="16"/>
      <c r="E515" s="16"/>
      <c r="F515" s="17" t="s">
        <v>3058</v>
      </c>
    </row>
    <row r="516" customFormat="false" ht="15" hidden="false" customHeight="false" outlineLevel="2" collapsed="false">
      <c r="A516" s="16"/>
      <c r="B516" s="16"/>
      <c r="C516" s="16" t="s">
        <v>3064</v>
      </c>
      <c r="D516" s="16"/>
      <c r="E516" s="16"/>
      <c r="F516" s="17" t="s">
        <v>3063</v>
      </c>
    </row>
    <row r="517" customFormat="false" ht="15" hidden="false" customHeight="false" outlineLevel="2" collapsed="false">
      <c r="A517" s="16"/>
      <c r="B517" s="16"/>
      <c r="C517" s="16" t="s">
        <v>3071</v>
      </c>
      <c r="D517" s="16"/>
      <c r="E517" s="16"/>
      <c r="F517" s="17" t="s">
        <v>3070</v>
      </c>
    </row>
    <row r="518" customFormat="false" ht="15" hidden="false" customHeight="false" outlineLevel="2" collapsed="false">
      <c r="A518" s="16"/>
      <c r="B518" s="16"/>
      <c r="C518" s="16" t="s">
        <v>3077</v>
      </c>
      <c r="D518" s="16"/>
      <c r="E518" s="16"/>
      <c r="F518" s="17" t="s">
        <v>3076</v>
      </c>
    </row>
    <row r="519" customFormat="false" ht="15" hidden="false" customHeight="false" outlineLevel="1" collapsed="false">
      <c r="A519" s="16"/>
      <c r="B519" s="16" t="s">
        <v>3082</v>
      </c>
      <c r="C519" s="16"/>
      <c r="D519" s="16"/>
      <c r="E519" s="16"/>
      <c r="F519" s="17" t="s">
        <v>3081</v>
      </c>
    </row>
    <row r="520" customFormat="false" ht="15" hidden="false" customHeight="false" outlineLevel="2" collapsed="false">
      <c r="A520" s="16"/>
      <c r="B520" s="16"/>
      <c r="C520" s="16" t="s">
        <v>3087</v>
      </c>
      <c r="D520" s="16"/>
      <c r="E520" s="16"/>
      <c r="F520" s="17" t="s">
        <v>3086</v>
      </c>
    </row>
    <row r="521" customFormat="false" ht="15" hidden="false" customHeight="false" outlineLevel="2" collapsed="false">
      <c r="A521" s="16"/>
      <c r="B521" s="16"/>
      <c r="C521" s="16" t="s">
        <v>3094</v>
      </c>
      <c r="D521" s="16"/>
      <c r="E521" s="16"/>
      <c r="F521" s="17" t="s">
        <v>3093</v>
      </c>
    </row>
    <row r="522" customFormat="false" ht="15" hidden="false" customHeight="false" outlineLevel="2" collapsed="false">
      <c r="A522" s="16"/>
      <c r="B522" s="16"/>
      <c r="C522" s="16" t="s">
        <v>3099</v>
      </c>
      <c r="D522" s="16"/>
      <c r="E522" s="16"/>
      <c r="F522" s="17" t="s">
        <v>3098</v>
      </c>
    </row>
    <row r="523" customFormat="false" ht="15" hidden="false" customHeight="false" outlineLevel="2" collapsed="false">
      <c r="A523" s="16"/>
      <c r="B523" s="16"/>
      <c r="C523" s="16" t="s">
        <v>3104</v>
      </c>
      <c r="D523" s="16"/>
      <c r="E523" s="16"/>
      <c r="F523" s="17" t="s">
        <v>3103</v>
      </c>
    </row>
    <row r="524" customFormat="false" ht="15" hidden="false" customHeight="false" outlineLevel="1" collapsed="false">
      <c r="A524" s="16"/>
      <c r="B524" s="16" t="s">
        <v>3111</v>
      </c>
      <c r="C524" s="16"/>
      <c r="D524" s="16"/>
      <c r="E524" s="16"/>
      <c r="F524" s="17" t="s">
        <v>3110</v>
      </c>
    </row>
    <row r="525" customFormat="false" ht="15" hidden="false" customHeight="false" outlineLevel="1" collapsed="false">
      <c r="A525" s="16"/>
      <c r="B525" s="16" t="s">
        <v>3117</v>
      </c>
      <c r="C525" s="16"/>
      <c r="D525" s="16"/>
      <c r="E525" s="16"/>
      <c r="F525" s="17" t="s">
        <v>3116</v>
      </c>
    </row>
    <row r="526" customFormat="false" ht="15" hidden="false" customHeight="false" outlineLevel="0" collapsed="false">
      <c r="A526" s="14" t="s">
        <v>3123</v>
      </c>
      <c r="B526" s="14"/>
      <c r="C526" s="14"/>
      <c r="D526" s="14"/>
      <c r="E526" s="14"/>
      <c r="F526" s="15" t="s">
        <v>3122</v>
      </c>
    </row>
    <row r="527" customFormat="false" ht="15" hidden="false" customHeight="false" outlineLevel="1" collapsed="false">
      <c r="A527" s="16"/>
      <c r="B527" s="16" t="s">
        <v>3128</v>
      </c>
      <c r="C527" s="16"/>
      <c r="D527" s="16"/>
      <c r="E527" s="16"/>
      <c r="F527" s="17" t="s">
        <v>3127</v>
      </c>
    </row>
    <row r="528" customFormat="false" ht="15" hidden="false" customHeight="false" outlineLevel="2" collapsed="false">
      <c r="A528" s="16"/>
      <c r="B528" s="16"/>
      <c r="C528" s="16" t="s">
        <v>3135</v>
      </c>
      <c r="D528" s="16"/>
      <c r="E528" s="16"/>
      <c r="F528" s="17" t="s">
        <v>3134</v>
      </c>
    </row>
    <row r="529" customFormat="false" ht="15" hidden="false" customHeight="false" outlineLevel="2" collapsed="false">
      <c r="A529" s="16"/>
      <c r="B529" s="16"/>
      <c r="C529" s="16" t="s">
        <v>3141</v>
      </c>
      <c r="D529" s="16"/>
      <c r="E529" s="16"/>
      <c r="F529" s="17" t="s">
        <v>3140</v>
      </c>
    </row>
    <row r="530" customFormat="false" ht="15" hidden="false" customHeight="false" outlineLevel="2" collapsed="false">
      <c r="A530" s="16"/>
      <c r="B530" s="16"/>
      <c r="C530" s="16" t="s">
        <v>3147</v>
      </c>
      <c r="D530" s="16"/>
      <c r="E530" s="16"/>
      <c r="F530" s="17" t="s">
        <v>3146</v>
      </c>
    </row>
    <row r="531" customFormat="false" ht="15" hidden="false" customHeight="false" outlineLevel="2" collapsed="false">
      <c r="A531" s="16"/>
      <c r="B531" s="16"/>
      <c r="C531" s="16" t="s">
        <v>3153</v>
      </c>
      <c r="D531" s="16"/>
      <c r="E531" s="16"/>
      <c r="F531" s="17" t="s">
        <v>3152</v>
      </c>
    </row>
    <row r="532" customFormat="false" ht="15" hidden="false" customHeight="false" outlineLevel="2" collapsed="false">
      <c r="A532" s="16"/>
      <c r="B532" s="16"/>
      <c r="C532" s="16" t="s">
        <v>3160</v>
      </c>
      <c r="D532" s="16"/>
      <c r="E532" s="16"/>
      <c r="F532" s="17" t="s">
        <v>3159</v>
      </c>
    </row>
    <row r="533" customFormat="false" ht="15" hidden="false" customHeight="false" outlineLevel="1" collapsed="false">
      <c r="A533" s="16"/>
      <c r="B533" s="16" t="s">
        <v>3166</v>
      </c>
      <c r="C533" s="16"/>
      <c r="D533" s="16"/>
      <c r="E533" s="16"/>
      <c r="F533" s="17" t="s">
        <v>3165</v>
      </c>
    </row>
    <row r="534" customFormat="false" ht="15" hidden="false" customHeight="false" outlineLevel="2" collapsed="false">
      <c r="A534" s="16"/>
      <c r="B534" s="16"/>
      <c r="C534" s="16" t="s">
        <v>3173</v>
      </c>
      <c r="D534" s="16"/>
      <c r="E534" s="16"/>
      <c r="F534" s="17" t="s">
        <v>3172</v>
      </c>
    </row>
    <row r="535" customFormat="false" ht="15" hidden="false" customHeight="false" outlineLevel="2" collapsed="false">
      <c r="A535" s="16"/>
      <c r="B535" s="16"/>
      <c r="C535" s="16" t="s">
        <v>3178</v>
      </c>
      <c r="D535" s="16"/>
      <c r="E535" s="16"/>
      <c r="F535" s="17" t="s">
        <v>3177</v>
      </c>
    </row>
    <row r="536" customFormat="false" ht="15" hidden="false" customHeight="false" outlineLevel="2" collapsed="false">
      <c r="A536" s="16"/>
      <c r="B536" s="16"/>
      <c r="C536" s="16" t="s">
        <v>3183</v>
      </c>
      <c r="D536" s="16"/>
      <c r="E536" s="16"/>
      <c r="F536" s="17" t="s">
        <v>3182</v>
      </c>
    </row>
    <row r="537" customFormat="false" ht="15" hidden="false" customHeight="false" outlineLevel="1" collapsed="false">
      <c r="A537" s="16"/>
      <c r="B537" s="16" t="s">
        <v>3189</v>
      </c>
      <c r="C537" s="16"/>
      <c r="D537" s="16"/>
      <c r="E537" s="16"/>
      <c r="F537" s="17" t="s">
        <v>3188</v>
      </c>
    </row>
    <row r="538" customFormat="false" ht="15" hidden="false" customHeight="false" outlineLevel="2" collapsed="false">
      <c r="A538" s="16"/>
      <c r="B538" s="16"/>
      <c r="C538" s="16" t="s">
        <v>3194</v>
      </c>
      <c r="D538" s="16"/>
      <c r="E538" s="16"/>
      <c r="F538" s="17" t="s">
        <v>3193</v>
      </c>
    </row>
    <row r="539" customFormat="false" ht="15" hidden="false" customHeight="false" outlineLevel="3" collapsed="false">
      <c r="A539" s="16"/>
      <c r="B539" s="16"/>
      <c r="C539" s="16"/>
      <c r="D539" s="16" t="s">
        <v>3201</v>
      </c>
      <c r="E539" s="16"/>
      <c r="F539" s="17" t="s">
        <v>3200</v>
      </c>
    </row>
    <row r="540" customFormat="false" ht="15" hidden="false" customHeight="false" outlineLevel="3" collapsed="false">
      <c r="A540" s="16"/>
      <c r="B540" s="16"/>
      <c r="C540" s="16"/>
      <c r="D540" s="16" t="s">
        <v>3206</v>
      </c>
      <c r="E540" s="16"/>
      <c r="F540" s="17" t="s">
        <v>3205</v>
      </c>
    </row>
    <row r="541" customFormat="false" ht="15" hidden="false" customHeight="false" outlineLevel="3" collapsed="false">
      <c r="A541" s="16"/>
      <c r="B541" s="16"/>
      <c r="C541" s="16"/>
      <c r="D541" s="16" t="s">
        <v>3211</v>
      </c>
      <c r="E541" s="16"/>
      <c r="F541" s="17" t="s">
        <v>3210</v>
      </c>
    </row>
    <row r="542" customFormat="false" ht="15" hidden="false" customHeight="false" outlineLevel="2" collapsed="false">
      <c r="A542" s="16"/>
      <c r="B542" s="16"/>
      <c r="C542" s="16" t="s">
        <v>3216</v>
      </c>
      <c r="D542" s="16"/>
      <c r="E542" s="16"/>
      <c r="F542" s="17" t="s">
        <v>3215</v>
      </c>
    </row>
    <row r="543" customFormat="false" ht="15" hidden="false" customHeight="false" outlineLevel="2" collapsed="false">
      <c r="A543" s="16"/>
      <c r="B543" s="16"/>
      <c r="C543" s="16" t="s">
        <v>3221</v>
      </c>
      <c r="D543" s="16"/>
      <c r="E543" s="16"/>
      <c r="F543" s="17" t="s">
        <v>3220</v>
      </c>
    </row>
    <row r="544" customFormat="false" ht="15" hidden="false" customHeight="false" outlineLevel="2" collapsed="false">
      <c r="A544" s="16"/>
      <c r="B544" s="16"/>
      <c r="C544" s="16" t="s">
        <v>3226</v>
      </c>
      <c r="D544" s="16"/>
      <c r="E544" s="16"/>
      <c r="F544" s="17" t="s">
        <v>3225</v>
      </c>
    </row>
    <row r="545" customFormat="false" ht="15" hidden="false" customHeight="false" outlineLevel="1" collapsed="false">
      <c r="A545" s="16"/>
      <c r="B545" s="16" t="s">
        <v>3231</v>
      </c>
      <c r="C545" s="16"/>
      <c r="D545" s="16"/>
      <c r="E545" s="16"/>
      <c r="F545" s="17" t="s">
        <v>3230</v>
      </c>
    </row>
    <row r="546" customFormat="false" ht="15" hidden="false" customHeight="false" outlineLevel="2" collapsed="false">
      <c r="A546" s="16"/>
      <c r="B546" s="16"/>
      <c r="C546" s="16" t="s">
        <v>3238</v>
      </c>
      <c r="D546" s="16"/>
      <c r="E546" s="16"/>
      <c r="F546" s="17" t="s">
        <v>3237</v>
      </c>
    </row>
    <row r="547" customFormat="false" ht="15" hidden="false" customHeight="false" outlineLevel="2" collapsed="false">
      <c r="A547" s="16"/>
      <c r="B547" s="16"/>
      <c r="C547" s="16" t="s">
        <v>3243</v>
      </c>
      <c r="D547" s="16"/>
      <c r="E547" s="16"/>
      <c r="F547" s="17" t="s">
        <v>3242</v>
      </c>
    </row>
    <row r="548" customFormat="false" ht="15" hidden="false" customHeight="false" outlineLevel="2" collapsed="false">
      <c r="A548" s="16"/>
      <c r="B548" s="16"/>
      <c r="C548" s="16" t="s">
        <v>3249</v>
      </c>
      <c r="D548" s="16"/>
      <c r="E548" s="16"/>
      <c r="F548" s="17" t="s">
        <v>3248</v>
      </c>
    </row>
    <row r="549" customFormat="false" ht="15" hidden="false" customHeight="false" outlineLevel="1" collapsed="false">
      <c r="A549" s="16"/>
      <c r="B549" s="16" t="s">
        <v>3254</v>
      </c>
      <c r="C549" s="16"/>
      <c r="D549" s="16"/>
      <c r="E549" s="16"/>
      <c r="F549" s="17" t="s">
        <v>3253</v>
      </c>
    </row>
    <row r="550" customFormat="false" ht="15" hidden="false" customHeight="false" outlineLevel="2" collapsed="false">
      <c r="A550" s="16"/>
      <c r="B550" s="16"/>
      <c r="C550" s="16" t="s">
        <v>3261</v>
      </c>
      <c r="D550" s="16"/>
      <c r="E550" s="16"/>
      <c r="F550" s="17" t="s">
        <v>3260</v>
      </c>
    </row>
    <row r="551" customFormat="false" ht="15" hidden="false" customHeight="false" outlineLevel="2" collapsed="false">
      <c r="A551" s="16"/>
      <c r="B551" s="16"/>
      <c r="C551" s="16" t="s">
        <v>3267</v>
      </c>
      <c r="D551" s="16"/>
      <c r="E551" s="16"/>
      <c r="F551" s="17" t="s">
        <v>3266</v>
      </c>
    </row>
    <row r="552" customFormat="false" ht="15" hidden="false" customHeight="false" outlineLevel="1" collapsed="false">
      <c r="A552" s="16"/>
      <c r="B552" s="16" t="s">
        <v>3272</v>
      </c>
      <c r="C552" s="16"/>
      <c r="D552" s="16"/>
      <c r="E552" s="16"/>
      <c r="F552" s="17" t="s">
        <v>3271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20"/>
    <col collapsed="false" customWidth="true" hidden="false" outlineLevel="0" max="4" min="4" style="0" width="14"/>
  </cols>
  <sheetData>
    <row r="1" customFormat="false" ht="17.35" hidden="false" customHeight="false" outlineLevel="0" collapsed="false">
      <c r="A1" s="18" t="s">
        <v>3283</v>
      </c>
    </row>
    <row r="3" customFormat="false" ht="15" hidden="false" customHeight="false" outlineLevel="0" collapsed="false">
      <c r="A3" s="13" t="s">
        <v>3284</v>
      </c>
      <c r="B3" s="13" t="s">
        <v>3285</v>
      </c>
      <c r="C3" s="13" t="s">
        <v>3286</v>
      </c>
      <c r="D3" s="13" t="s">
        <v>3287</v>
      </c>
    </row>
    <row r="4" customFormat="false" ht="15" hidden="false" customHeight="false" outlineLevel="0" collapsed="false">
      <c r="A4" s="16" t="s">
        <v>11</v>
      </c>
      <c r="B4" s="16" t="s">
        <v>10</v>
      </c>
      <c r="C4" s="16" t="n">
        <f aca="false">COUNTIF(Tree!$A:$A,B4)+COUNTIF(Tree!$A:$A,B4&amp;".*")</f>
        <v>58</v>
      </c>
      <c r="D4" s="16" t="n">
        <f aca="false">MAX(1,_xlfn.MAXIFS(Tree!$C:$C,Tree!$A:$A,B4&amp;".*"))</f>
        <v>5</v>
      </c>
    </row>
    <row r="5" customFormat="false" ht="15" hidden="false" customHeight="false" outlineLevel="0" collapsed="false">
      <c r="A5" s="16" t="s">
        <v>378</v>
      </c>
      <c r="B5" s="16" t="s">
        <v>377</v>
      </c>
      <c r="C5" s="16" t="n">
        <f aca="false">COUNTIF(Tree!$A:$A,B5)+COUNTIF(Tree!$A:$A,B5&amp;".*")</f>
        <v>69</v>
      </c>
      <c r="D5" s="16" t="n">
        <f aca="false">MAX(1,_xlfn.MAXIFS(Tree!$C:$C,Tree!$A:$A,B5&amp;".*"))</f>
        <v>5</v>
      </c>
    </row>
    <row r="6" customFormat="false" ht="15" hidden="false" customHeight="false" outlineLevel="0" collapsed="false">
      <c r="A6" s="16" t="s">
        <v>795</v>
      </c>
      <c r="B6" s="16" t="s">
        <v>794</v>
      </c>
      <c r="C6" s="16" t="n">
        <f aca="false">COUNTIF(Tree!$A:$A,B6)+COUNTIF(Tree!$A:$A,B6&amp;".*")</f>
        <v>39</v>
      </c>
      <c r="D6" s="16" t="n">
        <f aca="false">MAX(1,_xlfn.MAXIFS(Tree!$C:$C,Tree!$A:$A,B6&amp;".*"))</f>
        <v>4</v>
      </c>
    </row>
    <row r="7" customFormat="false" ht="15" hidden="false" customHeight="false" outlineLevel="0" collapsed="false">
      <c r="A7" s="16" t="s">
        <v>1029</v>
      </c>
      <c r="B7" s="16" t="s">
        <v>1028</v>
      </c>
      <c r="C7" s="16" t="n">
        <f aca="false">COUNTIF(Tree!$A:$A,B7)+COUNTIF(Tree!$A:$A,B7&amp;".*")</f>
        <v>43</v>
      </c>
      <c r="D7" s="16" t="n">
        <f aca="false">MAX(1,_xlfn.MAXIFS(Tree!$C:$C,Tree!$A:$A,B7&amp;".*"))</f>
        <v>4</v>
      </c>
    </row>
    <row r="8" customFormat="false" ht="15" hidden="false" customHeight="false" outlineLevel="0" collapsed="false">
      <c r="A8" s="16" t="s">
        <v>1282</v>
      </c>
      <c r="B8" s="16" t="s">
        <v>1281</v>
      </c>
      <c r="C8" s="16" t="n">
        <f aca="false">COUNTIF(Tree!$A:$A,B8)+COUNTIF(Tree!$A:$A,B8&amp;".*")</f>
        <v>45</v>
      </c>
      <c r="D8" s="16" t="n">
        <f aca="false">MAX(1,_xlfn.MAXIFS(Tree!$C:$C,Tree!$A:$A,B8&amp;".*"))</f>
        <v>4</v>
      </c>
    </row>
    <row r="9" customFormat="false" ht="15" hidden="false" customHeight="false" outlineLevel="0" collapsed="false">
      <c r="A9" s="16" t="s">
        <v>1551</v>
      </c>
      <c r="B9" s="16" t="s">
        <v>1550</v>
      </c>
      <c r="C9" s="16" t="n">
        <f aca="false">COUNTIF(Tree!$A:$A,B9)+COUNTIF(Tree!$A:$A,B9&amp;".*")</f>
        <v>29</v>
      </c>
      <c r="D9" s="16" t="n">
        <f aca="false">MAX(1,_xlfn.MAXIFS(Tree!$C:$C,Tree!$A:$A,B9&amp;".*"))</f>
        <v>4</v>
      </c>
    </row>
    <row r="10" customFormat="false" ht="15" hidden="false" customHeight="false" outlineLevel="0" collapsed="false">
      <c r="A10" s="16" t="s">
        <v>1723</v>
      </c>
      <c r="B10" s="16" t="s">
        <v>1722</v>
      </c>
      <c r="C10" s="16" t="n">
        <f aca="false">COUNTIF(Tree!$A:$A,B10)+COUNTIF(Tree!$A:$A,B10&amp;".*")</f>
        <v>44</v>
      </c>
      <c r="D10" s="16" t="n">
        <f aca="false">MAX(1,_xlfn.MAXIFS(Tree!$C:$C,Tree!$A:$A,B10&amp;".*"))</f>
        <v>4</v>
      </c>
    </row>
    <row r="11" customFormat="false" ht="15" hidden="false" customHeight="false" outlineLevel="0" collapsed="false">
      <c r="A11" s="16" t="s">
        <v>1972</v>
      </c>
      <c r="B11" s="16" t="s">
        <v>1971</v>
      </c>
      <c r="C11" s="16" t="n">
        <f aca="false">COUNTIF(Tree!$A:$A,B11)+COUNTIF(Tree!$A:$A,B11&amp;".*")</f>
        <v>72</v>
      </c>
      <c r="D11" s="16" t="n">
        <f aca="false">MAX(1,_xlfn.MAXIFS(Tree!$C:$C,Tree!$A:$A,B11&amp;".*"))</f>
        <v>4</v>
      </c>
    </row>
    <row r="12" customFormat="false" ht="15" hidden="false" customHeight="false" outlineLevel="0" collapsed="false">
      <c r="A12" s="16" t="s">
        <v>2391</v>
      </c>
      <c r="B12" s="16" t="s">
        <v>2390</v>
      </c>
      <c r="C12" s="16" t="n">
        <f aca="false">COUNTIF(Tree!$A:$A,B12)+COUNTIF(Tree!$A:$A,B12&amp;".*")</f>
        <v>44</v>
      </c>
      <c r="D12" s="16" t="n">
        <f aca="false">MAX(1,_xlfn.MAXIFS(Tree!$C:$C,Tree!$A:$A,B12&amp;".*"))</f>
        <v>4</v>
      </c>
    </row>
    <row r="13" customFormat="false" ht="15" hidden="false" customHeight="false" outlineLevel="0" collapsed="false">
      <c r="A13" s="16" t="s">
        <v>2643</v>
      </c>
      <c r="B13" s="16" t="s">
        <v>2642</v>
      </c>
      <c r="C13" s="16" t="n">
        <f aca="false">COUNTIF(Tree!$A:$A,B13)+COUNTIF(Tree!$A:$A,B13&amp;".*")</f>
        <v>25</v>
      </c>
      <c r="D13" s="16" t="n">
        <f aca="false">MAX(1,_xlfn.MAXIFS(Tree!$C:$C,Tree!$A:$A,B13&amp;".*"))</f>
        <v>4</v>
      </c>
    </row>
    <row r="14" customFormat="false" ht="15" hidden="false" customHeight="false" outlineLevel="0" collapsed="false">
      <c r="A14" s="16" t="s">
        <v>2783</v>
      </c>
      <c r="B14" s="16" t="s">
        <v>2782</v>
      </c>
      <c r="C14" s="16" t="n">
        <f aca="false">COUNTIF(Tree!$A:$A,B14)+COUNTIF(Tree!$A:$A,B14&amp;".*")</f>
        <v>36</v>
      </c>
      <c r="D14" s="16" t="n">
        <f aca="false">MAX(1,_xlfn.MAXIFS(Tree!$C:$C,Tree!$A:$A,B14&amp;".*"))</f>
        <v>3</v>
      </c>
    </row>
    <row r="15" customFormat="false" ht="15" hidden="false" customHeight="false" outlineLevel="0" collapsed="false">
      <c r="A15" s="16" t="s">
        <v>3005</v>
      </c>
      <c r="B15" s="16" t="s">
        <v>3004</v>
      </c>
      <c r="C15" s="16" t="n">
        <f aca="false">COUNTIF(Tree!$A:$A,B15)+COUNTIF(Tree!$A:$A,B15&amp;".*")</f>
        <v>20</v>
      </c>
      <c r="D15" s="16" t="n">
        <f aca="false">MAX(1,_xlfn.MAXIFS(Tree!$C:$C,Tree!$A:$A,B15&amp;".*"))</f>
        <v>4</v>
      </c>
    </row>
    <row r="16" customFormat="false" ht="15" hidden="false" customHeight="false" outlineLevel="0" collapsed="false">
      <c r="A16" s="16" t="s">
        <v>3123</v>
      </c>
      <c r="B16" s="16" t="s">
        <v>3122</v>
      </c>
      <c r="C16" s="16" t="n">
        <f aca="false">COUNTIF(Tree!$A:$A,B16)+COUNTIF(Tree!$A:$A,B16&amp;".*")</f>
        <v>27</v>
      </c>
      <c r="D16" s="16" t="n">
        <f aca="false">MAX(1,_xlfn.MAXIFS(Tree!$C:$C,Tree!$A:$A,B16&amp;".*"))</f>
        <v>4</v>
      </c>
    </row>
    <row r="17" customFormat="false" ht="15" hidden="false" customHeight="false" outlineLevel="0" collapsed="false">
      <c r="A17" s="19" t="s">
        <v>3288</v>
      </c>
      <c r="B17" s="16"/>
      <c r="C17" s="19" t="n">
        <f aca="false">SUM(C4:C16)</f>
        <v>551</v>
      </c>
      <c r="D17" s="19" t="n">
        <f aca="false">MAX(D4:D16)</f>
        <v>5</v>
      </c>
    </row>
    <row r="18" customFormat="false" ht="15" hidden="false" customHeight="false" outlineLevel="0" collapsed="false">
      <c r="A18" s="16" t="s">
        <v>3289</v>
      </c>
      <c r="B18" s="16"/>
      <c r="C18" s="16" t="n">
        <f aca="false">COUNTA(Tree!$A:$A)-1</f>
        <v>551</v>
      </c>
      <c r="D18" s="16"/>
    </row>
    <row r="19" customFormat="false" ht="15" hidden="false" customHeight="false" outlineLevel="0" collapsed="false">
      <c r="A19" s="16"/>
      <c r="B19" s="16"/>
      <c r="C19" s="16"/>
      <c r="D19" s="16"/>
    </row>
    <row r="20" customFormat="false" ht="15" hidden="false" customHeight="false" outlineLevel="0" collapsed="false">
      <c r="A20" s="13" t="s">
        <v>2</v>
      </c>
      <c r="B20" s="20"/>
      <c r="C20" s="13" t="s">
        <v>3290</v>
      </c>
      <c r="D20" s="20"/>
    </row>
    <row r="21" customFormat="false" ht="15" hidden="false" customHeight="false" outlineLevel="0" collapsed="false">
      <c r="A21" s="16" t="n">
        <v>1</v>
      </c>
      <c r="B21" s="16"/>
      <c r="C21" s="16" t="n">
        <f aca="false">COUNTIF(Tree!$C:$C,A21)</f>
        <v>13</v>
      </c>
      <c r="D21" s="16"/>
    </row>
    <row r="22" customFormat="false" ht="15" hidden="false" customHeight="false" outlineLevel="0" collapsed="false">
      <c r="A22" s="16" t="n">
        <v>2</v>
      </c>
      <c r="B22" s="16"/>
      <c r="C22" s="16" t="n">
        <f aca="false">COUNTIF(Tree!$C:$C,A22)</f>
        <v>87</v>
      </c>
      <c r="D22" s="16"/>
    </row>
    <row r="23" customFormat="false" ht="15" hidden="false" customHeight="false" outlineLevel="0" collapsed="false">
      <c r="A23" s="16" t="n">
        <v>3</v>
      </c>
      <c r="B23" s="16"/>
      <c r="C23" s="16" t="n">
        <f aca="false">COUNTIF(Tree!$C:$C,A23)</f>
        <v>295</v>
      </c>
      <c r="D23" s="16"/>
    </row>
    <row r="24" customFormat="false" ht="15" hidden="false" customHeight="false" outlineLevel="0" collapsed="false">
      <c r="A24" s="16" t="n">
        <v>4</v>
      </c>
      <c r="B24" s="16"/>
      <c r="C24" s="16" t="n">
        <f aca="false">COUNTIF(Tree!$C:$C,A24)</f>
        <v>146</v>
      </c>
      <c r="D24" s="16"/>
    </row>
    <row r="25" customFormat="false" ht="15" hidden="false" customHeight="false" outlineLevel="0" collapsed="false">
      <c r="A25" s="16" t="n">
        <v>5</v>
      </c>
      <c r="B25" s="16"/>
      <c r="C25" s="16" t="n">
        <f aca="false">COUNTIF(Tree!$C:$C,A25)</f>
        <v>10</v>
      </c>
      <c r="D25" s="16"/>
    </row>
    <row r="26" customFormat="false" ht="15" hidden="false" customHeight="false" outlineLevel="0" collapsed="false">
      <c r="A26" s="19" t="s">
        <v>3288</v>
      </c>
      <c r="B26" s="16"/>
      <c r="C26" s="19" t="n">
        <f aca="false">SUM(C21:C25)</f>
        <v>551</v>
      </c>
      <c r="D26" s="16"/>
    </row>
    <row r="27" customFormat="false" ht="15" hidden="false" customHeight="false" outlineLevel="0" collapsed="false">
      <c r="A27" s="16"/>
      <c r="B27" s="16"/>
      <c r="C27" s="16"/>
      <c r="D27" s="16"/>
    </row>
    <row r="28" customFormat="false" ht="15" hidden="false" customHeight="false" outlineLevel="0" collapsed="false">
      <c r="A28" s="19" t="s">
        <v>3291</v>
      </c>
      <c r="B28" s="16"/>
      <c r="C28" s="16"/>
      <c r="D28" s="16"/>
    </row>
    <row r="29" customFormat="false" ht="15" hidden="false" customHeight="false" outlineLevel="0" collapsed="false">
      <c r="A29" s="16" t="s">
        <v>15</v>
      </c>
      <c r="B29" s="16"/>
      <c r="C29" s="16" t="n">
        <f aca="false">COUNTIF(Tree!$H:$H,A29)</f>
        <v>223</v>
      </c>
      <c r="D29" s="16"/>
    </row>
    <row r="30" customFormat="false" ht="15" hidden="false" customHeight="false" outlineLevel="0" collapsed="false">
      <c r="A30" s="16" t="s">
        <v>258</v>
      </c>
      <c r="B30" s="16"/>
      <c r="C30" s="16" t="n">
        <f aca="false">COUNTIF(Tree!$H:$H,A30)</f>
        <v>270</v>
      </c>
      <c r="D30" s="16"/>
    </row>
    <row r="31" customFormat="false" ht="15" hidden="false" customHeight="false" outlineLevel="0" collapsed="false">
      <c r="A31" s="16" t="s">
        <v>280</v>
      </c>
      <c r="B31" s="16"/>
      <c r="C31" s="16" t="n">
        <f aca="false">COUNTIF(Tree!$H:$H,A31)</f>
        <v>58</v>
      </c>
      <c r="D31" s="16"/>
    </row>
    <row r="32" customFormat="false" ht="15" hidden="false" customHeight="false" outlineLevel="0" collapsed="false">
      <c r="A32" s="16"/>
      <c r="B32" s="16"/>
      <c r="C32" s="16"/>
      <c r="D32" s="16"/>
    </row>
    <row r="33" customFormat="false" ht="15" hidden="false" customHeight="false" outlineLevel="0" collapsed="false">
      <c r="A33" s="21" t="s">
        <v>3292</v>
      </c>
      <c r="B33" s="16"/>
      <c r="C33" s="16"/>
      <c r="D33" s="16"/>
    </row>
    <row r="34" customFormat="false" ht="57.75" hidden="false" customHeight="true" outlineLevel="0" collapsed="false">
      <c r="A34" s="22" t="s">
        <v>3293</v>
      </c>
      <c r="B34" s="22"/>
      <c r="C34" s="22"/>
      <c r="D34" s="22"/>
    </row>
    <row r="35" customFormat="false" ht="57.75" hidden="false" customHeight="true" outlineLevel="0" collapsed="false">
      <c r="A35" s="22" t="s">
        <v>3294</v>
      </c>
      <c r="B35" s="22"/>
      <c r="C35" s="22"/>
      <c r="D35" s="22"/>
    </row>
    <row r="36" customFormat="false" ht="57.75" hidden="false" customHeight="true" outlineLevel="0" collapsed="false">
      <c r="A36" s="22" t="s">
        <v>3295</v>
      </c>
      <c r="B36" s="22"/>
      <c r="C36" s="22"/>
      <c r="D36" s="22"/>
    </row>
    <row r="37" customFormat="false" ht="57.75" hidden="false" customHeight="true" outlineLevel="0" collapsed="false">
      <c r="A37" s="22" t="s">
        <v>3296</v>
      </c>
      <c r="B37" s="22"/>
      <c r="C37" s="22"/>
      <c r="D37" s="22"/>
    </row>
    <row r="38" customFormat="false" ht="57.75" hidden="false" customHeight="true" outlineLevel="0" collapsed="false">
      <c r="A38" s="22" t="s">
        <v>3297</v>
      </c>
      <c r="B38" s="22"/>
      <c r="C38" s="22"/>
      <c r="D38" s="22"/>
    </row>
    <row r="39" customFormat="false" ht="15" hidden="false" customHeight="false" outlineLevel="0" collapsed="false">
      <c r="A39" s="16"/>
      <c r="B39" s="16"/>
      <c r="C39" s="16"/>
      <c r="D39" s="16"/>
    </row>
  </sheetData>
  <mergeCells count="5">
    <mergeCell ref="A34:D34"/>
    <mergeCell ref="A35:D35"/>
    <mergeCell ref="A36:D36"/>
    <mergeCell ref="A37:D37"/>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8" t="s">
        <v>3298</v>
      </c>
    </row>
    <row r="2" customFormat="false" ht="30" hidden="false" customHeight="true" outlineLevel="0" collapsed="false">
      <c r="A2" s="22" t="s">
        <v>3299</v>
      </c>
      <c r="B2" s="22"/>
    </row>
    <row r="3" customFormat="false" ht="15" hidden="false" customHeight="false" outlineLevel="0" collapsed="false">
      <c r="A3" s="22"/>
      <c r="B3" s="22"/>
    </row>
    <row r="4" customFormat="false" ht="15" hidden="false" customHeight="false" outlineLevel="0" collapsed="false">
      <c r="A4" s="23" t="s">
        <v>3300</v>
      </c>
    </row>
    <row r="5" customFormat="false" ht="15" hidden="false" customHeight="false" outlineLevel="0" collapsed="false">
      <c r="A5" s="24" t="s">
        <v>3301</v>
      </c>
      <c r="B5" s="25" t="s">
        <v>3302</v>
      </c>
    </row>
    <row r="6" customFormat="false" ht="15" hidden="false" customHeight="false" outlineLevel="0" collapsed="false">
      <c r="A6" s="24" t="s">
        <v>3303</v>
      </c>
      <c r="B6" s="25" t="s">
        <v>3304</v>
      </c>
    </row>
    <row r="7" customFormat="false" ht="15" hidden="false" customHeight="false" outlineLevel="0" collapsed="false">
      <c r="A7" s="24" t="s">
        <v>3305</v>
      </c>
      <c r="B7" s="25" t="s">
        <v>3306</v>
      </c>
    </row>
    <row r="8" customFormat="false" ht="15" hidden="false" customHeight="false" outlineLevel="0" collapsed="false">
      <c r="A8" s="24" t="s">
        <v>3307</v>
      </c>
      <c r="B8" s="25" t="s">
        <v>3308</v>
      </c>
    </row>
    <row r="9" customFormat="false" ht="15" hidden="false" customHeight="false" outlineLevel="0" collapsed="false">
      <c r="A9" s="22"/>
      <c r="B9" s="22"/>
    </row>
    <row r="10" customFormat="false" ht="15" hidden="false" customHeight="false" outlineLevel="0" collapsed="false">
      <c r="A10" s="23" t="s">
        <v>3309</v>
      </c>
    </row>
    <row r="11" customFormat="false" ht="23.85" hidden="false" customHeight="false" outlineLevel="0" collapsed="false">
      <c r="A11" s="24" t="s">
        <v>0</v>
      </c>
      <c r="B11" s="25" t="s">
        <v>3310</v>
      </c>
    </row>
    <row r="12" customFormat="false" ht="15" hidden="false" customHeight="false" outlineLevel="0" collapsed="false">
      <c r="A12" s="24" t="s">
        <v>1</v>
      </c>
      <c r="B12" s="25" t="s">
        <v>3311</v>
      </c>
    </row>
    <row r="13" customFormat="false" ht="15" hidden="false" customHeight="false" outlineLevel="0" collapsed="false">
      <c r="A13" s="24" t="s">
        <v>2</v>
      </c>
      <c r="B13" s="25" t="s">
        <v>3312</v>
      </c>
    </row>
    <row r="14" customFormat="false" ht="15" hidden="false" customHeight="false" outlineLevel="0" collapsed="false">
      <c r="A14" s="24" t="s">
        <v>3</v>
      </c>
      <c r="B14" s="25" t="s">
        <v>3313</v>
      </c>
    </row>
    <row r="15" customFormat="false" ht="15" hidden="false" customHeight="false" outlineLevel="0" collapsed="false">
      <c r="A15" s="24" t="s">
        <v>4</v>
      </c>
      <c r="B15" s="25" t="s">
        <v>3314</v>
      </c>
    </row>
    <row r="16" customFormat="false" ht="15" hidden="false" customHeight="false" outlineLevel="0" collapsed="false">
      <c r="A16" s="24" t="s">
        <v>5</v>
      </c>
      <c r="B16" s="25" t="s">
        <v>3315</v>
      </c>
    </row>
    <row r="17" customFormat="false" ht="15" hidden="false" customHeight="false" outlineLevel="0" collapsed="false">
      <c r="A17" s="24" t="s">
        <v>6</v>
      </c>
      <c r="B17" s="25" t="s">
        <v>3316</v>
      </c>
    </row>
    <row r="18" customFormat="false" ht="15" hidden="false" customHeight="false" outlineLevel="0" collapsed="false">
      <c r="A18" s="24" t="s">
        <v>7</v>
      </c>
      <c r="B18" s="25" t="s">
        <v>3317</v>
      </c>
    </row>
    <row r="19" customFormat="false" ht="15" hidden="false" customHeight="false" outlineLevel="0" collapsed="false">
      <c r="A19" s="24" t="s">
        <v>8</v>
      </c>
      <c r="B19" s="25" t="s">
        <v>3318</v>
      </c>
    </row>
    <row r="20" customFormat="false" ht="15" hidden="false" customHeight="false" outlineLevel="0" collapsed="false">
      <c r="A20" s="24" t="s">
        <v>9</v>
      </c>
      <c r="B20" s="25" t="s">
        <v>3319</v>
      </c>
    </row>
    <row r="21" customFormat="false" ht="15" hidden="false" customHeight="false" outlineLevel="0" collapsed="false">
      <c r="A21" s="22"/>
      <c r="B21" s="22"/>
    </row>
    <row r="22" customFormat="false" ht="15" hidden="false" customHeight="false" outlineLevel="0" collapsed="false">
      <c r="A22" s="23" t="s">
        <v>3320</v>
      </c>
    </row>
    <row r="23" customFormat="false" ht="23.85" hidden="false" customHeight="false" outlineLevel="0" collapsed="false">
      <c r="A23" s="24" t="s">
        <v>3321</v>
      </c>
      <c r="B23" s="25" t="s">
        <v>3322</v>
      </c>
    </row>
    <row r="24" customFormat="false" ht="23.85" hidden="false" customHeight="false" outlineLevel="0" collapsed="false">
      <c r="A24" s="24" t="s">
        <v>3323</v>
      </c>
      <c r="B24" s="25" t="s">
        <v>3324</v>
      </c>
    </row>
    <row r="25" customFormat="false" ht="15" hidden="false" customHeight="false" outlineLevel="0" collapsed="false">
      <c r="A25" s="24" t="s">
        <v>3325</v>
      </c>
      <c r="B25" s="25" t="s">
        <v>3326</v>
      </c>
    </row>
    <row r="26" customFormat="false" ht="15" hidden="false" customHeight="false" outlineLevel="0" collapsed="false">
      <c r="A26" s="24" t="s">
        <v>3327</v>
      </c>
      <c r="B26" s="25" t="s">
        <v>3328</v>
      </c>
    </row>
    <row r="27" customFormat="false" ht="15" hidden="false" customHeight="false" outlineLevel="0" collapsed="false">
      <c r="A27" s="22"/>
      <c r="B27" s="22"/>
    </row>
    <row r="28" customFormat="false" ht="15" hidden="false" customHeight="false" outlineLevel="0" collapsed="false">
      <c r="A28" s="24" t="s">
        <v>3329</v>
      </c>
      <c r="B28" s="25" t="s">
        <v>3330</v>
      </c>
    </row>
  </sheetData>
  <mergeCells count="5">
    <mergeCell ref="A2:B2"/>
    <mergeCell ref="A3:B3"/>
    <mergeCell ref="A9:B9"/>
    <mergeCell ref="A21:B21"/>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2026-09-30T16:12:08Z</dcterms:created>
  <dc:creator>openpyxl</dc:creator>
  <dc:description/>
  <dc:language>en-US</dc:language>
  <cp:lastModifiedBy/>
  <dcterms:modified xsi:type="dcterms:W3CDTF">2026-09-30T16:12:08Z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