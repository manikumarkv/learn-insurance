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rms" sheetId="1" state="visible" r:id="rId3"/>
    <sheet name="By Category" sheetId="2" state="visible" r:id="rId4"/>
    <sheet name="README" sheetId="3" state="visible" r:id="rId5"/>
  </sheets>
  <definedNames>
    <definedName function="false" hidden="true" localSheetId="0" name="_xlnm._FilterDatabase" vbProcedure="false">Terms!$A$1:$M$1017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<sst xmlns="http://schemas.openxmlformats.org/spreadsheetml/2006/main" count="12138" uniqueCount="5943">
  <si>
    <t xml:space="preserve">ID</t>
  </si>
  <si>
    <t xml:space="preserve">Term</t>
  </si>
  <si>
    <t xml:space="preserve">Also Known As</t>
  </si>
  <si>
    <t xml:space="preserve">Category</t>
  </si>
  <si>
    <t xml:space="preserve">Applies To Lines</t>
  </si>
  <si>
    <t xml:space="preserve">Plain-English Definition</t>
  </si>
  <si>
    <t xml:space="preserve">Example</t>
  </si>
  <si>
    <t xml:space="preserve">Where You'll See It</t>
  </si>
  <si>
    <t xml:space="preserve">Most Relevant For</t>
  </si>
  <si>
    <t xml:space="preserve">Difficulty</t>
  </si>
  <si>
    <t xml:space="preserve">Usage Frequency</t>
  </si>
  <si>
    <t xml:space="preserve">Related Terms</t>
  </si>
  <si>
    <t xml:space="preserve">US Notes</t>
  </si>
  <si>
    <t xml:space="preserve">section-1035-exchange</t>
  </si>
  <si>
    <t xml:space="preserve">1035 Exchange</t>
  </si>
  <si>
    <t xml:space="preserve">Line-Specific</t>
  </si>
  <si>
    <t xml:space="preserve">Life</t>
  </si>
  <si>
    <t xml:space="preserve">A tax-free swap of one life insurance or annuity policy for another under IRS Section 1035.</t>
  </si>
  <si>
    <t xml:space="preserve">You exchange an old annuity for a new one without paying tax.</t>
  </si>
  <si>
    <t xml:space="preserve">Application form</t>
  </si>
  <si>
    <t xml:space="preserve">Individuals, Underwriters, Product Owners</t>
  </si>
  <si>
    <t xml:space="preserve">Advanced</t>
  </si>
  <si>
    <t xml:space="preserve">Low</t>
  </si>
  <si>
    <t xml:space="preserve">replacement</t>
  </si>
  <si>
    <t xml:space="preserve">seven-pay-test</t>
  </si>
  <si>
    <t xml:space="preserve">7-Pay Test</t>
  </si>
  <si>
    <t xml:space="preserve">A federal tax test that checks whether premiums in the first seven years exceed limits, which would make a policy a MEC.</t>
  </si>
  <si>
    <t xml:space="preserve">Premiums above the 7-pay limit trigger MEC status.</t>
  </si>
  <si>
    <t xml:space="preserve">Policy administration system</t>
  </si>
  <si>
    <t xml:space="preserve">Developers, Underwriters</t>
  </si>
  <si>
    <t xml:space="preserve">modified-endowment-contract</t>
  </si>
  <si>
    <t xml:space="preserve">a-plus-report</t>
  </si>
  <si>
    <t xml:space="preserve">A-PLUS Report</t>
  </si>
  <si>
    <t xml:space="preserve">Automated Property Loss Underwriting System</t>
  </si>
  <si>
    <t xml:space="preserve">Underwriting</t>
  </si>
  <si>
    <t xml:space="preserve">Property, Motor</t>
  </si>
  <si>
    <t xml:space="preserve">A Verisk database report of past property and auto claims, similar to CLUE.</t>
  </si>
  <si>
    <t xml:space="preserve">An underwriter checks A-PLUS for prior losses.</t>
  </si>
  <si>
    <t xml:space="preserve">Underwriting system</t>
  </si>
  <si>
    <t xml:space="preserve">clue-report, loss-history</t>
  </si>
  <si>
    <t xml:space="preserve">aais</t>
  </si>
  <si>
    <t xml:space="preserve">AAIS</t>
  </si>
  <si>
    <t xml:space="preserve">American Association of Insurance Services</t>
  </si>
  <si>
    <t xml:space="preserve">Technology</t>
  </si>
  <si>
    <t xml:space="preserve">Property, Commercial, Marine/Aviation/Transit, Agriculture</t>
  </si>
  <si>
    <t xml:space="preserve">An advisory organization, owned by member insurers, that provides standard forms and loss costs, similar to ISO.</t>
  </si>
  <si>
    <t xml:space="preserve">A mutual insurer uses AAIS farm forms.</t>
  </si>
  <si>
    <t xml:space="preserve">Policy document</t>
  </si>
  <si>
    <t xml:space="preserve">Underwriters, Product Owners</t>
  </si>
  <si>
    <t xml:space="preserve">iso</t>
  </si>
  <si>
    <t xml:space="preserve">ab-initio</t>
  </si>
  <si>
    <t xml:space="preserve">Ab Initio</t>
  </si>
  <si>
    <t xml:space="preserve">Legal/Latin</t>
  </si>
  <si>
    <t xml:space="preserve">All</t>
  </si>
  <si>
    <t xml:space="preserve">Latin for 'from the beginning'. A policy void ab initio is treated as if it never existed.</t>
  </si>
  <si>
    <t xml:space="preserve">A policy obtained by fraud is rescinded ab initio and the premium refunded.</t>
  </si>
  <si>
    <t xml:space="preserve">rescission, void-policy</t>
  </si>
  <si>
    <t xml:space="preserve">abandonment</t>
  </si>
  <si>
    <t xml:space="preserve">Abandonment</t>
  </si>
  <si>
    <t xml:space="preserve">Claims</t>
  </si>
  <si>
    <t xml:space="preserve">Marine/Aviation/Transit</t>
  </si>
  <si>
    <t xml:space="preserve">Giving up ownership of damaged property to the insurer in exchange for a total loss payment.</t>
  </si>
  <si>
    <t xml:space="preserve">A shipowner abandons a wrecked vessel to the insurers.</t>
  </si>
  <si>
    <t xml:space="preserve">Underwriters</t>
  </si>
  <si>
    <t xml:space="preserve">constructive-total-loss, salvage</t>
  </si>
  <si>
    <t xml:space="preserve">Property policies usually say the insured cannot abandon property to the insurer.</t>
  </si>
  <si>
    <t xml:space="preserve">accelerated-death-benefit-rider</t>
  </si>
  <si>
    <t xml:space="preserve">Accelerated Death Benefit Rider</t>
  </si>
  <si>
    <t xml:space="preserve">Living Benefits Rider</t>
  </si>
  <si>
    <t xml:space="preserve">A rider that lets you receive part of the death benefit early if you are terminally, chronically or critically ill.</t>
  </si>
  <si>
    <t xml:space="preserve">You receive 50% of the benefit after a terminal diagnosis.</t>
  </si>
  <si>
    <t xml:space="preserve">Intermediate</t>
  </si>
  <si>
    <t xml:space="preserve">Medium</t>
  </si>
  <si>
    <t xml:space="preserve">rider, chronic-illness-rider</t>
  </si>
  <si>
    <t xml:space="preserve">accelerated-underwriting</t>
  </si>
  <si>
    <t xml:space="preserve">Accelerated Underwriting</t>
  </si>
  <si>
    <t xml:space="preserve">Using data and algorithms to approve some life applicants without a medical exam.</t>
  </si>
  <si>
    <t xml:space="preserve">A healthy 30-year-old is approved in minutes without blood tests.</t>
  </si>
  <si>
    <t xml:space="preserve">Developers, Underwriters, Product Owners</t>
  </si>
  <si>
    <t xml:space="preserve">medical-underwriting, paramedical-exam, predictive-model</t>
  </si>
  <si>
    <t xml:space="preserve">accident</t>
  </si>
  <si>
    <t xml:space="preserve">Accident</t>
  </si>
  <si>
    <t xml:space="preserve">Policy Wording</t>
  </si>
  <si>
    <t xml:space="preserve">A sudden, unexpected and unintended event that causes injury or damage.</t>
  </si>
  <si>
    <t xml:space="preserve">Slipping on ice and breaking an arm is an accident.</t>
  </si>
  <si>
    <t xml:space="preserve">Individuals, Underwriters</t>
  </si>
  <si>
    <t xml:space="preserve">Beginner</t>
  </si>
  <si>
    <t xml:space="preserve">High</t>
  </si>
  <si>
    <t xml:space="preserve">occurrence, accidental-death-and-dismemberment</t>
  </si>
  <si>
    <t xml:space="preserve">accident-forgiveness</t>
  </si>
  <si>
    <t xml:space="preserve">Accident Forgiveness</t>
  </si>
  <si>
    <t xml:space="preserve">Motor</t>
  </si>
  <si>
    <t xml:space="preserve">A feature where your first at-fault accident doesn't raise your premium.</t>
  </si>
  <si>
    <t xml:space="preserve">No surcharge after your first fender-bender.</t>
  </si>
  <si>
    <t xml:space="preserve">Individuals, Product Owners</t>
  </si>
  <si>
    <t xml:space="preserve">driving-record-points</t>
  </si>
  <si>
    <t xml:space="preserve">Banned in some states such as California.</t>
  </si>
  <si>
    <t xml:space="preserve">accident-insurance</t>
  </si>
  <si>
    <t xml:space="preserve">Accident Insurance</t>
  </si>
  <si>
    <t xml:space="preserve">Health</t>
  </si>
  <si>
    <t xml:space="preserve">Insurance paying set amounts for injuries from accidents, such as fractures or ER visits.</t>
  </si>
  <si>
    <t xml:space="preserve">$500 for a broken arm.</t>
  </si>
  <si>
    <t xml:space="preserve">accidental-death-and-dismemberment, critical-illness-insurance</t>
  </si>
  <si>
    <t xml:space="preserve">accident-year</t>
  </si>
  <si>
    <t xml:space="preserve">Accident Year</t>
  </si>
  <si>
    <t xml:space="preserve">AY</t>
  </si>
  <si>
    <t xml:space="preserve">Finance &amp; Actuarial</t>
  </si>
  <si>
    <t xml:space="preserve">Property, Casualty/Liability, Motor, Commercial</t>
  </si>
  <si>
    <t xml:space="preserve">Grouping of losses by the year the accident happened.</t>
  </si>
  <si>
    <t xml:space="preserve">All losses from accidents in 2024 belong to AY 2024.</t>
  </si>
  <si>
    <t xml:space="preserve">Financial statements</t>
  </si>
  <si>
    <t xml:space="preserve">Developers, Product Owners</t>
  </si>
  <si>
    <t xml:space="preserve">policy-year, calendar-year, underwriting-year</t>
  </si>
  <si>
    <t xml:space="preserve">accidental-death-and-dismemberment</t>
  </si>
  <si>
    <t xml:space="preserve">Accidental Death and Dismemberment</t>
  </si>
  <si>
    <t xml:space="preserve">AD&amp;D</t>
  </si>
  <si>
    <t xml:space="preserve">Life, Health</t>
  </si>
  <si>
    <t xml:space="preserve">Insurance paying if you die or lose a limb, eyesight or hearing in an accident.</t>
  </si>
  <si>
    <t xml:space="preserve">AD&amp;D pays 50% of the benefit for loss of one hand.</t>
  </si>
  <si>
    <t xml:space="preserve">Individuals, Developers, Product Owners</t>
  </si>
  <si>
    <t xml:space="preserve">accident-insurance, accidental-death-benefit-rider</t>
  </si>
  <si>
    <t xml:space="preserve">accidental-death-benefit-rider</t>
  </si>
  <si>
    <t xml:space="preserve">Accidental Death Benefit Rider</t>
  </si>
  <si>
    <t xml:space="preserve">ADB; Double Indemnity</t>
  </si>
  <si>
    <t xml:space="preserve">A rider that pays an extra benefit if death results from an accident.</t>
  </si>
  <si>
    <t xml:space="preserve">An extra $250,000 paid for accidental death.</t>
  </si>
  <si>
    <t xml:space="preserve">rider, accidental-death-and-dismemberment</t>
  </si>
  <si>
    <t xml:space="preserve">aggregation</t>
  </si>
  <si>
    <t xml:space="preserve">Accumulation</t>
  </si>
  <si>
    <t xml:space="preserve">Aggregation; Concentration Risk</t>
  </si>
  <si>
    <t xml:space="preserve">Property, Commercial, Financial Lines, Reinsurance</t>
  </si>
  <si>
    <t xml:space="preserve">The build-up of many insured risks exposed to the same event.</t>
  </si>
  <si>
    <t xml:space="preserve">Too many insured homes in one coastal county.</t>
  </si>
  <si>
    <t xml:space="preserve">catastrophe-model, probable-maximum-loss</t>
  </si>
  <si>
    <t xml:space="preserve">accumulation-phase</t>
  </si>
  <si>
    <t xml:space="preserve">Accumulation Phase</t>
  </si>
  <si>
    <t xml:space="preserve">The period when money in a deferred annuity grows before payouts start.</t>
  </si>
  <si>
    <t xml:space="preserve">Contributions grow tax-deferred in the accumulation phase.</t>
  </si>
  <si>
    <t xml:space="preserve">Individuals, Developers</t>
  </si>
  <si>
    <t xml:space="preserve">deferred-annuity, annuitization</t>
  </si>
  <si>
    <t xml:space="preserve">acord</t>
  </si>
  <si>
    <t xml:space="preserve">ACORD</t>
  </si>
  <si>
    <t xml:space="preserve">Association for Cooperative Operations Research and Development</t>
  </si>
  <si>
    <t xml:space="preserve">A nonprofit that sets data standards (XML, JSON, forms) for exchanging insurance information.</t>
  </si>
  <si>
    <t xml:space="preserve">Agency software sends ACORD XML to a carrier.</t>
  </si>
  <si>
    <t xml:space="preserve">Data exchange/integration specs</t>
  </si>
  <si>
    <t xml:space="preserve">acord-forms, acord-al3</t>
  </si>
  <si>
    <t xml:space="preserve">acord-al3</t>
  </si>
  <si>
    <t xml:space="preserve">ACORD AL3</t>
  </si>
  <si>
    <t xml:space="preserve">An older ACORD standard file format used to download policy data from carriers to agency systems.</t>
  </si>
  <si>
    <t xml:space="preserve">A carrier sends daily AL3 downloads to agents.</t>
  </si>
  <si>
    <t xml:space="preserve">Developers</t>
  </si>
  <si>
    <t xml:space="preserve">acord-forms</t>
  </si>
  <si>
    <t xml:space="preserve">ACORD Forms</t>
  </si>
  <si>
    <t xml:space="preserve">Standardized application and certificate forms used across the US industry, such as ACORD 25 (certificate of liability insurance) and ACORD 125.</t>
  </si>
  <si>
    <t xml:space="preserve">A broker fills out ACORD 125 and 126 for a commercial GL submission.</t>
  </si>
  <si>
    <t xml:space="preserve">Application form, Agent/broker communications</t>
  </si>
  <si>
    <t xml:space="preserve">acord, certificate-of-insurance, application</t>
  </si>
  <si>
    <t xml:space="preserve">acquisition-costs</t>
  </si>
  <si>
    <t xml:space="preserve">Acquisition Costs</t>
  </si>
  <si>
    <t xml:space="preserve">Costs of getting new business, such as commissions, marketing and underwriting.</t>
  </si>
  <si>
    <t xml:space="preserve">Commissions and premium taxes are acquisition costs.</t>
  </si>
  <si>
    <t xml:space="preserve">expense-ratio, deferred-acquisition-costs, commission</t>
  </si>
  <si>
    <t xml:space="preserve">act-of-god</t>
  </si>
  <si>
    <t xml:space="preserve">Act of God</t>
  </si>
  <si>
    <t xml:space="preserve">Force of Nature</t>
  </si>
  <si>
    <t xml:space="preserve">A natural event outside human control, such as a flood, earthquake or lightning.</t>
  </si>
  <si>
    <t xml:space="preserve">Lightning striking a barn is an act of God.</t>
  </si>
  <si>
    <t xml:space="preserve">force-majeure, peril, catastrophe</t>
  </si>
  <si>
    <t xml:space="preserve">activities-of-daily-living</t>
  </si>
  <si>
    <t xml:space="preserve">Activities of Daily Living</t>
  </si>
  <si>
    <t xml:space="preserve">ADLs</t>
  </si>
  <si>
    <t xml:space="preserve">Basic self-care tasks, usually bathing, dressing, eating, toileting, continence and transferring, used to trigger long-term care benefits.</t>
  </si>
  <si>
    <t xml:space="preserve">Needing help with two ADLs qualifies you for LTC benefits.</t>
  </si>
  <si>
    <t xml:space="preserve">Policy document, Claim documents</t>
  </si>
  <si>
    <t xml:space="preserve">long-term-care-insurance, chronic-illness-rider</t>
  </si>
  <si>
    <t xml:space="preserve">actual-cash-value</t>
  </si>
  <si>
    <t xml:space="preserve">Actual Cash Value</t>
  </si>
  <si>
    <t xml:space="preserve">ACV</t>
  </si>
  <si>
    <t xml:space="preserve">Core Concept</t>
  </si>
  <si>
    <t xml:space="preserve">The value of property at the time of loss: replacement cost minus depreciation.</t>
  </si>
  <si>
    <t xml:space="preserve">A 5-year-old TV that costs $1,000 new may be worth $400 ACV.</t>
  </si>
  <si>
    <t xml:space="preserve">Individuals, Developers, Underwriters, Product Owners</t>
  </si>
  <si>
    <t xml:space="preserve">replacement-cost, depreciation, indemnity</t>
  </si>
  <si>
    <t xml:space="preserve">Some states define ACV by statute or case law, including whether labor can be depreciated.</t>
  </si>
  <si>
    <t xml:space="preserve">actual-production-history</t>
  </si>
  <si>
    <t xml:space="preserve">Actual Production History</t>
  </si>
  <si>
    <t xml:space="preserve">APH</t>
  </si>
  <si>
    <t xml:space="preserve">Agriculture</t>
  </si>
  <si>
    <t xml:space="preserve">A farmer's historical average yields, used to set crop insurance guarantees.</t>
  </si>
  <si>
    <t xml:space="preserve">A 10-year APH of 180 bushels per acre.</t>
  </si>
  <si>
    <t xml:space="preserve">multi-peril-crop-insurance</t>
  </si>
  <si>
    <t xml:space="preserve">actuarial-value</t>
  </si>
  <si>
    <t xml:space="preserve">Actuarial Value</t>
  </si>
  <si>
    <t xml:space="preserve">AV</t>
  </si>
  <si>
    <t xml:space="preserve">The percentage of total average costs for covered benefits that a plan pays.</t>
  </si>
  <si>
    <t xml:space="preserve">A silver plan has about 70% actuarial value.</t>
  </si>
  <si>
    <t xml:space="preserve">Product specification</t>
  </si>
  <si>
    <t xml:space="preserve">metal-tiers</t>
  </si>
  <si>
    <t xml:space="preserve">actuary</t>
  </si>
  <si>
    <t xml:space="preserve">Actuary</t>
  </si>
  <si>
    <t xml:space="preserve">A professional who uses math and statistics to price insurance, set reserves and measure risk.</t>
  </si>
  <si>
    <t xml:space="preserve">An actuary calculates how much to charge 30-year-old non-smokers for term life.</t>
  </si>
  <si>
    <t xml:space="preserve">law-of-large-numbers, reserves</t>
  </si>
  <si>
    <t xml:space="preserve">Credentialed by the CAS (property/casualty) or SOA (life/health).</t>
  </si>
  <si>
    <t xml:space="preserve">additional-insured</t>
  </si>
  <si>
    <t xml:space="preserve">Additional Insured</t>
  </si>
  <si>
    <t xml:space="preserve">AI</t>
  </si>
  <si>
    <t xml:space="preserve">Property, Casualty/Liability, Commercial</t>
  </si>
  <si>
    <t xml:space="preserve">A person or company added to someone else's policy so they are also protected, often required by a contract.</t>
  </si>
  <si>
    <t xml:space="preserve">A landlord requires a tenant's liability policy to list the landlord as an additional insured.</t>
  </si>
  <si>
    <t xml:space="preserve">Policy document, Declarations page</t>
  </si>
  <si>
    <t xml:space="preserve">named-insured, certificate-of-insurance, endorsement</t>
  </si>
  <si>
    <t xml:space="preserve">additional-living-expense</t>
  </si>
  <si>
    <t xml:space="preserve">Additional Living Expense</t>
  </si>
  <si>
    <t xml:space="preserve">ALE</t>
  </si>
  <si>
    <t xml:space="preserve">Property</t>
  </si>
  <si>
    <t xml:space="preserve">The increase in living costs, such as rent and meals, after a covered loss forces you out of your home.</t>
  </si>
  <si>
    <t xml:space="preserve">Paying $2,000/month rent while your home is rebuilt.</t>
  </si>
  <si>
    <t xml:space="preserve">loss-of-use, fair-rental-value</t>
  </si>
  <si>
    <t xml:space="preserve">additional-premium</t>
  </si>
  <si>
    <t xml:space="preserve">Additional Premium</t>
  </si>
  <si>
    <t xml:space="preserve">AP</t>
  </si>
  <si>
    <t xml:space="preserve">Lifecycle</t>
  </si>
  <si>
    <t xml:space="preserve">Extra premium charged because of a mid-term change that increases the risk.</t>
  </si>
  <si>
    <t xml:space="preserve">Adding a pool to your home policy costs $80 additional premium.</t>
  </si>
  <si>
    <t xml:space="preserve">Billing statement</t>
  </si>
  <si>
    <t xml:space="preserve">return-premium, mid-term-adjustment</t>
  </si>
  <si>
    <t xml:space="preserve">administrative-services-only</t>
  </si>
  <si>
    <t xml:space="preserve">Administrative Services Only</t>
  </si>
  <si>
    <t xml:space="preserve">ASO</t>
  </si>
  <si>
    <t xml:space="preserve">Distribution</t>
  </si>
  <si>
    <t xml:space="preserve">An arrangement where an insurer or TPA processes claims for a self-funded plan but doesn't take the risk.</t>
  </si>
  <si>
    <t xml:space="preserve">A big insurer handles claims for an employer's plan under an ASO contract.</t>
  </si>
  <si>
    <t xml:space="preserve">self-funded-plan, third-party-administrator</t>
  </si>
  <si>
    <t xml:space="preserve">admitted-insurer</t>
  </si>
  <si>
    <t xml:space="preserve">Admitted Insurer</t>
  </si>
  <si>
    <t xml:space="preserve">Admitted Carrier; Licensed Insurer</t>
  </si>
  <si>
    <t xml:space="preserve">Regulation</t>
  </si>
  <si>
    <t xml:space="preserve">An insurer licensed by a state to do business there, subject to its rate and form rules and covered by its guaranty fund.</t>
  </si>
  <si>
    <t xml:space="preserve">Most personal auto insurers are admitted.</t>
  </si>
  <si>
    <t xml:space="preserve">Regulatory filings</t>
  </si>
  <si>
    <t xml:space="preserve">non-admitted-insurer, guaranty-fund, surplus-lines</t>
  </si>
  <si>
    <t xml:space="preserve">adverse-action-notice</t>
  </si>
  <si>
    <t xml:space="preserve">Adverse Action Notice</t>
  </si>
  <si>
    <t xml:space="preserve">A notice explaining that a consumer report influenced a decision to decline or charge more.</t>
  </si>
  <si>
    <t xml:space="preserve">A letter says your insurance score affected your premium.</t>
  </si>
  <si>
    <t xml:space="preserve">fcra</t>
  </si>
  <si>
    <t xml:space="preserve">adverse-development-cover</t>
  </si>
  <si>
    <t xml:space="preserve">Adverse Development Cover</t>
  </si>
  <si>
    <t xml:space="preserve">ADC</t>
  </si>
  <si>
    <t xml:space="preserve">Reinsurance</t>
  </si>
  <si>
    <t xml:space="preserve">Reinsurance, Alternative Risk Transfer</t>
  </si>
  <si>
    <t xml:space="preserve">Reinsurance that pays if reserves for past claims turn out to be too low.</t>
  </si>
  <si>
    <t xml:space="preserve">Covers reserve growth above $500M on old liability claims.</t>
  </si>
  <si>
    <t xml:space="preserve">Reinsurance contract</t>
  </si>
  <si>
    <t xml:space="preserve">Product Owners</t>
  </si>
  <si>
    <t xml:space="preserve">portfolio-transfer, reserve-development</t>
  </si>
  <si>
    <t xml:space="preserve">adverse-selection</t>
  </si>
  <si>
    <t xml:space="preserve">Adverse Selection</t>
  </si>
  <si>
    <t xml:space="preserve">Anti-Selection</t>
  </si>
  <si>
    <t xml:space="preserve">When people who are more likely to have a loss are more likely to buy insurance, making the pool riskier.</t>
  </si>
  <si>
    <t xml:space="preserve">People who know they need surgery sign up for health insurance right before.</t>
  </si>
  <si>
    <t xml:space="preserve">underwriting, open-enrollment-period, individual-mandate</t>
  </si>
  <si>
    <t xml:space="preserve">aerial-imagery</t>
  </si>
  <si>
    <t xml:space="preserve">Aerial Imagery</t>
  </si>
  <si>
    <t xml:space="preserve">Property, Commercial</t>
  </si>
  <si>
    <t xml:space="preserve">Satellite or aircraft images used to assess roofs, trees and hazards without visiting.</t>
  </si>
  <si>
    <t xml:space="preserve">An insurer spots a damaged roof from imagery.</t>
  </si>
  <si>
    <t xml:space="preserve">inspection, third-party-data</t>
  </si>
  <si>
    <t xml:space="preserve">Some states restrict non-renewals based solely on aerial images.</t>
  </si>
  <si>
    <t xml:space="preserve">affinity-group</t>
  </si>
  <si>
    <t xml:space="preserve">Affinity Group</t>
  </si>
  <si>
    <t xml:space="preserve">Affinity Program</t>
  </si>
  <si>
    <t xml:space="preserve">Insurance sold to members of an organization, like alumni or professional associations, often at group rates.</t>
  </si>
  <si>
    <t xml:space="preserve">A bar association sponsors a professional liability program.</t>
  </si>
  <si>
    <t xml:space="preserve">group-insurance, embedded-insurance</t>
  </si>
  <si>
    <t xml:space="preserve">affordable-care-act</t>
  </si>
  <si>
    <t xml:space="preserve">Affordable Care Act</t>
  </si>
  <si>
    <t xml:space="preserve">ACA; Obamacare</t>
  </si>
  <si>
    <t xml:space="preserve">A 2010 federal law that reformed US health insurance, including marketplaces, subsidies, essential benefits and bans on pre-existing condition exclusions.</t>
  </si>
  <si>
    <t xml:space="preserve">You can't be denied a plan because of diabetes.</t>
  </si>
  <si>
    <t xml:space="preserve">health-insurance-marketplace, essential-health-benefits, pre-existing-condition, premium-tax-credit</t>
  </si>
  <si>
    <t xml:space="preserve">age-nearest-birthday</t>
  </si>
  <si>
    <t xml:space="preserve">Age Nearest Birthday</t>
  </si>
  <si>
    <t xml:space="preserve">ANB; Age Last Birthday (ALB)</t>
  </si>
  <si>
    <t xml:space="preserve">Two ways insurers define age: the age at your nearest birthday, or at your last birthday.</t>
  </si>
  <si>
    <t xml:space="preserve">At 35 and 7 months you're 36 ANB but 35 ALB.</t>
  </si>
  <si>
    <t xml:space="preserve">Rating engine</t>
  </si>
  <si>
    <t xml:space="preserve">issue-age</t>
  </si>
  <si>
    <t xml:space="preserve">agency-bill</t>
  </si>
  <si>
    <t xml:space="preserve">Agency Bill</t>
  </si>
  <si>
    <t xml:space="preserve">The agent bills and collects premium from the client, then pays the insurer net of commission.</t>
  </si>
  <si>
    <t xml:space="preserve">A commercial client pays the agency, not the carrier.</t>
  </si>
  <si>
    <t xml:space="preserve">direct-bill</t>
  </si>
  <si>
    <t xml:space="preserve">agency-management-system</t>
  </si>
  <si>
    <t xml:space="preserve">Agency Management System</t>
  </si>
  <si>
    <t xml:space="preserve">AMS</t>
  </si>
  <si>
    <t xml:space="preserve">Software agencies use to manage clients, policies, commissions and documents.</t>
  </si>
  <si>
    <t xml:space="preserve">An agency uses Applied Epic or Vertafore AMS360.</t>
  </si>
  <si>
    <t xml:space="preserve">acord, comparative-rater</t>
  </si>
  <si>
    <t xml:space="preserve">insurance-agent</t>
  </si>
  <si>
    <t xml:space="preserve">Agent</t>
  </si>
  <si>
    <t xml:space="preserve">Insurance Agent; Producer</t>
  </si>
  <si>
    <t xml:space="preserve">A licensed person or firm who sells insurance on behalf of one or more insurers.</t>
  </si>
  <si>
    <t xml:space="preserve">A local State Farm agent sells you home and auto insurance.</t>
  </si>
  <si>
    <t xml:space="preserve">Agent/broker communications</t>
  </si>
  <si>
    <t xml:space="preserve">captive-agent, independent-agent, broker, producer</t>
  </si>
  <si>
    <t xml:space="preserve">Agents must hold a state license for each line and state.</t>
  </si>
  <si>
    <t xml:space="preserve">agent-errors-and-omissions</t>
  </si>
  <si>
    <t xml:space="preserve">Agent E&amp;O</t>
  </si>
  <si>
    <t xml:space="preserve">Agents Errors and Omissions</t>
  </si>
  <si>
    <t xml:space="preserve">Financial Lines</t>
  </si>
  <si>
    <t xml:space="preserve">Professional liability coverage for insurance agents against claims of mistakes in placing coverage.</t>
  </si>
  <si>
    <t xml:space="preserve">A client sues an agent who forgot to add flood coverage.</t>
  </si>
  <si>
    <t xml:space="preserve">errors-and-omissions-insurance</t>
  </si>
  <si>
    <t xml:space="preserve">aggregate-excess-of-loss</t>
  </si>
  <si>
    <t xml:space="preserve">Aggregate Excess of Loss</t>
  </si>
  <si>
    <t xml:space="preserve">Stop Loss Reinsurance</t>
  </si>
  <si>
    <t xml:space="preserve">Health, Agriculture, Reinsurance</t>
  </si>
  <si>
    <t xml:space="preserve">Reinsurance that pays when total losses for a year exceed a set amount or loss ratio.</t>
  </si>
  <si>
    <t xml:space="preserve">Pays when the crop portfolio's loss ratio exceeds 110%.</t>
  </si>
  <si>
    <t xml:space="preserve">excess-of-loss, stop-loss-insurance</t>
  </si>
  <si>
    <t xml:space="preserve">aggregate-limit</t>
  </si>
  <si>
    <t xml:space="preserve">Aggregate Limit</t>
  </si>
  <si>
    <t xml:space="preserve">General Aggregate</t>
  </si>
  <si>
    <t xml:space="preserve">Casualty/Liability, Commercial, Specialty, Financial Lines</t>
  </si>
  <si>
    <t xml:space="preserve">The most the insurer will pay for all claims combined during one policy period.</t>
  </si>
  <si>
    <t xml:space="preserve">A business has a $2M aggregate; after paying $2M in claims this year, no more claims are paid until renewal.</t>
  </si>
  <si>
    <t xml:space="preserve">Declarations page, Policy document</t>
  </si>
  <si>
    <t xml:space="preserve">limit-of-liability, per-occurrence-limit, products-completed-operations-aggregate</t>
  </si>
  <si>
    <t xml:space="preserve">aggregate-stop-loss</t>
  </si>
  <si>
    <t xml:space="preserve">Aggregate Stop-Loss</t>
  </si>
  <si>
    <t xml:space="preserve">Stop-loss that pays when the total claims for the whole group exceed a set amount.</t>
  </si>
  <si>
    <t xml:space="preserve">Pays when total claims exceed 125% of expected.</t>
  </si>
  <si>
    <t xml:space="preserve">stop-loss-insurance, specific-stop-loss</t>
  </si>
  <si>
    <t xml:space="preserve">aggregator</t>
  </si>
  <si>
    <t xml:space="preserve">Aggregator</t>
  </si>
  <si>
    <t xml:space="preserve">Comparison Site; Lead Generator</t>
  </si>
  <si>
    <t xml:space="preserve">Life, Health, Property, Motor</t>
  </si>
  <si>
    <t xml:space="preserve">A website that collects quotes from many insurers for comparison.</t>
  </si>
  <si>
    <t xml:space="preserve">A site shows 10 auto quotes side by side.</t>
  </si>
  <si>
    <t xml:space="preserve">direct-writer, lead-generation</t>
  </si>
  <si>
    <t xml:space="preserve">agreed-value</t>
  </si>
  <si>
    <t xml:space="preserve">Agreed Value</t>
  </si>
  <si>
    <t xml:space="preserve">Stated Amount</t>
  </si>
  <si>
    <t xml:space="preserve">Property, Motor, Marine/Aviation/Transit, Specialty</t>
  </si>
  <si>
    <t xml:space="preserve">A value the insured and insurer agree on in advance, which is paid for a total loss without arguing about depreciation.</t>
  </si>
  <si>
    <t xml:space="preserve">A classic car is insured for an agreed value of $60,000.</t>
  </si>
  <si>
    <t xml:space="preserve">actual-cash-value, stated-value, valued-policy</t>
  </si>
  <si>
    <t xml:space="preserve">aircraft-liability</t>
  </si>
  <si>
    <t xml:space="preserve">Aircraft Liability</t>
  </si>
  <si>
    <t xml:space="preserve">Covers injury to passengers and third parties caused by aircraft operations.</t>
  </si>
  <si>
    <t xml:space="preserve">A plane crash injures people on the ground.</t>
  </si>
  <si>
    <t xml:space="preserve">aviation-insurance</t>
  </si>
  <si>
    <t xml:space="preserve">aleatory-contract</t>
  </si>
  <si>
    <t xml:space="preserve">Aleatory Contract</t>
  </si>
  <si>
    <t xml:space="preserve">A contract where what each side gives may be very unequal and depends on an uncertain event.</t>
  </si>
  <si>
    <t xml:space="preserve">You pay $800 in premium and might receive $300,000 if your house burns down, or nothing.</t>
  </si>
  <si>
    <t xml:space="preserve">unilateral-contract, contract-of-adhesion</t>
  </si>
  <si>
    <t xml:space="preserve">allocated-loss-adjustment-expense</t>
  </si>
  <si>
    <t xml:space="preserve">Allocated Loss Adjustment Expense</t>
  </si>
  <si>
    <t xml:space="preserve">ALAE; DCC (Defense and Cost Containment)</t>
  </si>
  <si>
    <t xml:space="preserve">Claim expenses that can be tied to a specific claim, such as defense lawyers and experts.</t>
  </si>
  <si>
    <t xml:space="preserve">$20,000 paid to a defense firm on one lawsuit is ALAE.</t>
  </si>
  <si>
    <t xml:space="preserve">loss-adjustment-expense, unallocated-loss-adjustment-expense</t>
  </si>
  <si>
    <t xml:space="preserve">NAIC statutory reporting uses the term DCC.</t>
  </si>
  <si>
    <t xml:space="preserve">allowed-amount</t>
  </si>
  <si>
    <t xml:space="preserve">Allowed Amount</t>
  </si>
  <si>
    <t xml:space="preserve">Eligible Expense; Negotiated Rate</t>
  </si>
  <si>
    <t xml:space="preserve">The maximum amount a plan will pay for a covered service, often a negotiated rate with in-network providers.</t>
  </si>
  <si>
    <t xml:space="preserve">A doctor bills $300; the allowed amount is $180.</t>
  </si>
  <si>
    <t xml:space="preserve">Explanation of benefits</t>
  </si>
  <si>
    <t xml:space="preserve">balance-billing, explanation-of-benefits, usual-customary-reasonable</t>
  </si>
  <si>
    <t xml:space="preserve">alternative-risk-transfer</t>
  </si>
  <si>
    <t xml:space="preserve">Alternative Risk Transfer</t>
  </si>
  <si>
    <t xml:space="preserve">ART</t>
  </si>
  <si>
    <t xml:space="preserve">Ways of managing or financing risk outside traditional insurance, such as captives, cat bonds and self-insurance.</t>
  </si>
  <si>
    <t xml:space="preserve">A company forms a captive to insure its own risks.</t>
  </si>
  <si>
    <t xml:space="preserve">captive-insurance-company, catastrophe-bond, risk-retention-group</t>
  </si>
  <si>
    <t xml:space="preserve">am-best</t>
  </si>
  <si>
    <t xml:space="preserve">AM Best</t>
  </si>
  <si>
    <t xml:space="preserve">A credit rating agency specializing in insurance companies.</t>
  </si>
  <si>
    <t xml:space="preserve">AM Best rates an insurer 'A+ (Superior)'.</t>
  </si>
  <si>
    <t xml:space="preserve">financial-strength-rating</t>
  </si>
  <si>
    <t xml:space="preserve">ambiguity</t>
  </si>
  <si>
    <t xml:space="preserve">Ambiguity</t>
  </si>
  <si>
    <t xml:space="preserve">Policy wording that can reasonably be read in more than one way.</t>
  </si>
  <si>
    <t xml:space="preserve">'Flood' might or might not include sewer backup; that is an ambiguity.</t>
  </si>
  <si>
    <t xml:space="preserve">contra-proferentem, reasonable-expectations-doctrine</t>
  </si>
  <si>
    <t xml:space="preserve">annual-maximum</t>
  </si>
  <si>
    <t xml:space="preserve">Annual Maximum</t>
  </si>
  <si>
    <t xml:space="preserve">Annual Benefit Maximum</t>
  </si>
  <si>
    <t xml:space="preserve">The most a plan (commonly dental) will pay in a year.</t>
  </si>
  <si>
    <t xml:space="preserve">A dental plan's $1,500 annual maximum.</t>
  </si>
  <si>
    <t xml:space="preserve">dental-insurance, limit-of-liability</t>
  </si>
  <si>
    <t xml:space="preserve">ACA bans annual dollar limits on essential health benefits, but dental maximums remain for adults.</t>
  </si>
  <si>
    <t xml:space="preserve">annual-renewable-term</t>
  </si>
  <si>
    <t xml:space="preserve">Annual Renewable Term</t>
  </si>
  <si>
    <t xml:space="preserve">ART; Yearly Renewable Term; YRT</t>
  </si>
  <si>
    <t xml:space="preserve">Life, Reinsurance</t>
  </si>
  <si>
    <t xml:space="preserve">Term insurance that renews each year with rising premiums as you age; YRT is also a common life reinsurance basis.</t>
  </si>
  <si>
    <t xml:space="preserve">Premium rises every year on a YRT policy.</t>
  </si>
  <si>
    <t xml:space="preserve">Policy document, Reinsurance contract</t>
  </si>
  <si>
    <t xml:space="preserve">level-term, term-life-insurance</t>
  </si>
  <si>
    <t xml:space="preserve">annual-statement</t>
  </si>
  <si>
    <t xml:space="preserve">Annual Statement</t>
  </si>
  <si>
    <t xml:space="preserve">Yellow Book; Blue Book</t>
  </si>
  <si>
    <t xml:space="preserve">The detailed yearly financial report each insurer files with regulators using NAIC formats.</t>
  </si>
  <si>
    <t xml:space="preserve">The annual statement includes Schedule P for reserves.</t>
  </si>
  <si>
    <t xml:space="preserve">Financial statements, Regulatory filings</t>
  </si>
  <si>
    <t xml:space="preserve">statutory-accounting-principles, schedule-p</t>
  </si>
  <si>
    <t xml:space="preserve">P&amp;C statements are called the Yellow Book; life statements the Blue Book.</t>
  </si>
  <si>
    <t xml:space="preserve">annuitant</t>
  </si>
  <si>
    <t xml:space="preserve">Annuitant</t>
  </si>
  <si>
    <t xml:space="preserve">The person whose life expectancy determines annuity payments; often also the owner.</t>
  </si>
  <si>
    <t xml:space="preserve">The annuitant is 65 and receives monthly income.</t>
  </si>
  <si>
    <t xml:space="preserve">annuity</t>
  </si>
  <si>
    <t xml:space="preserve">annuitization</t>
  </si>
  <si>
    <t xml:space="preserve">Annuitization</t>
  </si>
  <si>
    <t xml:space="preserve">Converting the annuity's value into a stream of regular payments.</t>
  </si>
  <si>
    <t xml:space="preserve">You annuitize at age 70 for life income.</t>
  </si>
  <si>
    <t xml:space="preserve">annuity, payout-option</t>
  </si>
  <si>
    <t xml:space="preserve">Annuity</t>
  </si>
  <si>
    <t xml:space="preserve">A contract with an insurer where you pay money in and receive regular income, often for life.</t>
  </si>
  <si>
    <t xml:space="preserve">You pay $100,000 and receive $550 a month for life.</t>
  </si>
  <si>
    <t xml:space="preserve">fixed-annuity, variable-annuity, immediate-annuity, deferred-annuity</t>
  </si>
  <si>
    <t xml:space="preserve">anti-concurrent-causation-clause</t>
  </si>
  <si>
    <t xml:space="preserve">Anti-Concurrent Causation Clause</t>
  </si>
  <si>
    <t xml:space="preserve">ACC Clause</t>
  </si>
  <si>
    <t xml:space="preserve">Wording that excludes a loss if an excluded cause contributed in any way, even if a covered cause also contributed.</t>
  </si>
  <si>
    <t xml:space="preserve">Flood damage is excluded even though wind also contributed.</t>
  </si>
  <si>
    <t xml:space="preserve">concurrent-causation, exclusion</t>
  </si>
  <si>
    <t xml:space="preserve">Not enforced in some states, such as California and Washington.</t>
  </si>
  <si>
    <t xml:space="preserve">anti-money-laundering</t>
  </si>
  <si>
    <t xml:space="preserve">Anti-Money Laundering</t>
  </si>
  <si>
    <t xml:space="preserve">AML</t>
  </si>
  <si>
    <t xml:space="preserve">Rules requiring insurers selling certain life and annuity products to detect and report money laundering.</t>
  </si>
  <si>
    <t xml:space="preserve">A large single premium paid in cash triggers review.</t>
  </si>
  <si>
    <t xml:space="preserve">know-your-customer, ofac</t>
  </si>
  <si>
    <t xml:space="preserve">Covered life insurers have AML program obligations under the Bank Secrecy Act.</t>
  </si>
  <si>
    <t xml:space="preserve">any-occupation</t>
  </si>
  <si>
    <t xml:space="preserve">Any Occupation</t>
  </si>
  <si>
    <t xml:space="preserve">Any Occ</t>
  </si>
  <si>
    <t xml:space="preserve">A disability definition that pays only if you can't do any job suited to your education and experience.</t>
  </si>
  <si>
    <t xml:space="preserve">After 2 years, LTD switches to any-occupation.</t>
  </si>
  <si>
    <t xml:space="preserve">own-occupation</t>
  </si>
  <si>
    <t xml:space="preserve">appeal</t>
  </si>
  <si>
    <t xml:space="preserve">Appeal</t>
  </si>
  <si>
    <t xml:space="preserve">Internal Appeal</t>
  </si>
  <si>
    <t xml:space="preserve">A request asking your insurer to reconsider a denied claim or decision.</t>
  </si>
  <si>
    <t xml:space="preserve">You appeal a denied MRI with a letter from your doctor.</t>
  </si>
  <si>
    <t xml:space="preserve">Claim documents</t>
  </si>
  <si>
    <t xml:space="preserve">external-review, claim-denial</t>
  </si>
  <si>
    <t xml:space="preserve">application</t>
  </si>
  <si>
    <t xml:space="preserve">Application</t>
  </si>
  <si>
    <t xml:space="preserve">App; Proposal Form</t>
  </si>
  <si>
    <t xml:space="preserve">The form you fill out to request insurance, giving information the insurer uses to decide and price.</t>
  </si>
  <si>
    <t xml:space="preserve">A life application asks about your health, hobbies and income.</t>
  </si>
  <si>
    <t xml:space="preserve">quote, underwriting, representation</t>
  </si>
  <si>
    <t xml:space="preserve">appointed-actuary</t>
  </si>
  <si>
    <t xml:space="preserve">Appointed Actuary</t>
  </si>
  <si>
    <t xml:space="preserve">Statement of Actuarial Opinion</t>
  </si>
  <si>
    <t xml:space="preserve">The actuary named by an insurer's board to give the regulator an opinion on the adequacy of its reserves.</t>
  </si>
  <si>
    <t xml:space="preserve">The appointed actuary signs the annual reserve opinion.</t>
  </si>
  <si>
    <t xml:space="preserve">actuary, reserves</t>
  </si>
  <si>
    <t xml:space="preserve">appointment</t>
  </si>
  <si>
    <t xml:space="preserve">Appointment</t>
  </si>
  <si>
    <t xml:space="preserve">Carrier Appointment</t>
  </si>
  <si>
    <t xml:space="preserve">Official authorization from an insurer for an agent to represent it, often filed with the state.</t>
  </si>
  <si>
    <t xml:space="preserve">An agent is appointed with five carriers.</t>
  </si>
  <si>
    <t xml:space="preserve">insurance-agent, producer-license</t>
  </si>
  <si>
    <t xml:space="preserve">Most states require insurers to file appointments.</t>
  </si>
  <si>
    <t xml:space="preserve">appraisal-clause</t>
  </si>
  <si>
    <t xml:space="preserve">Appraisal Clause</t>
  </si>
  <si>
    <t xml:space="preserve">Appraisal</t>
  </si>
  <si>
    <t xml:space="preserve">A process for settling disagreements about the amount of a loss, using independent appraisers and an umpire.</t>
  </si>
  <si>
    <t xml:space="preserve">You and the insurer disagree on the roof repair cost, so each hires an appraiser.</t>
  </si>
  <si>
    <t xml:space="preserve">umpire, dispute-resolution, claim-settlement</t>
  </si>
  <si>
    <t xml:space="preserve">arbitration-clause</t>
  </si>
  <si>
    <t xml:space="preserve">Arbitration Clause</t>
  </si>
  <si>
    <t xml:space="preserve">A clause requiring disputes to be settled by a private arbitrator instead of a court.</t>
  </si>
  <si>
    <t xml:space="preserve">A reinsurance dispute goes to a panel of three arbitrators.</t>
  </si>
  <si>
    <t xml:space="preserve">appraisal-clause, dispute-resolution</t>
  </si>
  <si>
    <t xml:space="preserve">asbestos-and-environmental</t>
  </si>
  <si>
    <t xml:space="preserve">Asbestos and Environmental</t>
  </si>
  <si>
    <t xml:space="preserve">A&amp;E</t>
  </si>
  <si>
    <t xml:space="preserve">Casualty/Liability</t>
  </si>
  <si>
    <t xml:space="preserve">Long-tail liability claims from asbestos exposure and pollution that have cost insurers heavily for decades.</t>
  </si>
  <si>
    <t xml:space="preserve">An insurer increases A&amp;E reserves.</t>
  </si>
  <si>
    <t xml:space="preserve">long-tail, run-off</t>
  </si>
  <si>
    <t xml:space="preserve">assigned-risk-plan</t>
  </si>
  <si>
    <t xml:space="preserve">Assigned Risk Plan</t>
  </si>
  <si>
    <t xml:space="preserve">Automobile Insurance Plan</t>
  </si>
  <si>
    <t xml:space="preserve">Motor, Commercial</t>
  </si>
  <si>
    <t xml:space="preserve">A residual market plan that assigns hard-to-insure drivers or employers to insurers.</t>
  </si>
  <si>
    <t xml:space="preserve">A high-risk driver is assigned to an insurer by the state plan.</t>
  </si>
  <si>
    <t xml:space="preserve">residual-market</t>
  </si>
  <si>
    <t xml:space="preserve">assignment</t>
  </si>
  <si>
    <t xml:space="preserve">Assignment</t>
  </si>
  <si>
    <t xml:space="preserve">Transferring rights under a policy to someone else.</t>
  </si>
  <si>
    <t xml:space="preserve">A life policyowner assigns the policy to a bank as loan collateral.</t>
  </si>
  <si>
    <t xml:space="preserve">assignment-of-benefits</t>
  </si>
  <si>
    <t xml:space="preserve">Assignment of Benefits</t>
  </si>
  <si>
    <t xml:space="preserve">AOB</t>
  </si>
  <si>
    <t xml:space="preserve">Health, Property</t>
  </si>
  <si>
    <t xml:space="preserve">A document that lets a contractor or provider bill the insurer directly and pursue the claim.</t>
  </si>
  <si>
    <t xml:space="preserve">A water mitigation company has you sign an AOB and then bills your insurer.</t>
  </si>
  <si>
    <t xml:space="preserve">Individuals, Developers, Underwriters</t>
  </si>
  <si>
    <t xml:space="preserve">assignment, claim</t>
  </si>
  <si>
    <t xml:space="preserve">Florida restricted AOB for property claims in 2019 and 2022 after abuse; health providers routinely take AOB.</t>
  </si>
  <si>
    <t xml:space="preserve">assumed-premium</t>
  </si>
  <si>
    <t xml:space="preserve">Assumed Premium</t>
  </si>
  <si>
    <t xml:space="preserve">Premium a reinsurer receives for risk it takes on from another insurer.</t>
  </si>
  <si>
    <t xml:space="preserve">A reinsurer books $10M assumed premium.</t>
  </si>
  <si>
    <t xml:space="preserve">ceded-premium</t>
  </si>
  <si>
    <t xml:space="preserve">attachment-point</t>
  </si>
  <si>
    <t xml:space="preserve">Attachment Point</t>
  </si>
  <si>
    <t xml:space="preserve">Property, Casualty/Liability, Financial Lines, Reinsurance</t>
  </si>
  <si>
    <t xml:space="preserve">The loss amount at which an excess or reinsurance layer starts to pay.</t>
  </si>
  <si>
    <t xml:space="preserve">An excess policy attaching at $10M pays once losses exceed $10M.</t>
  </si>
  <si>
    <t xml:space="preserve">Reinsurance contract, Declarations page</t>
  </si>
  <si>
    <t xml:space="preserve">layer, retention, excess-insurance</t>
  </si>
  <si>
    <t xml:space="preserve">attained-age</t>
  </si>
  <si>
    <t xml:space="preserve">Attained Age</t>
  </si>
  <si>
    <t xml:space="preserve">The insured's current age, used for premiums that rise with age.</t>
  </si>
  <si>
    <t xml:space="preserve">Medigap attained-age pricing rises each year.</t>
  </si>
  <si>
    <t xml:space="preserve">issue-age, community-rating</t>
  </si>
  <si>
    <t xml:space="preserve">attorney-in-fact</t>
  </si>
  <si>
    <t xml:space="preserve">Attorney-in-Fact</t>
  </si>
  <si>
    <t xml:space="preserve">The company that manages a reciprocal exchange on behalf of its members.</t>
  </si>
  <si>
    <t xml:space="preserve">Erie Indemnity is attorney-in-fact for Erie Insurance Exchange.</t>
  </si>
  <si>
    <t xml:space="preserve">reciprocal-exchange</t>
  </si>
  <si>
    <t xml:space="preserve">auditable-policy</t>
  </si>
  <si>
    <t xml:space="preserve">Auditable Policy</t>
  </si>
  <si>
    <t xml:space="preserve">Casualty/Liability, Commercial</t>
  </si>
  <si>
    <t xml:space="preserve">A policy whose final premium is determined by an audit after it ends.</t>
  </si>
  <si>
    <t xml:space="preserve">Workers' comp and GL on payroll or sales basis are auditable.</t>
  </si>
  <si>
    <t xml:space="preserve">premium-audit, deposit-premium</t>
  </si>
  <si>
    <t xml:space="preserve">auto-adjudication</t>
  </si>
  <si>
    <t xml:space="preserve">Auto-Adjudication</t>
  </si>
  <si>
    <t xml:space="preserve">Automatic processing of claims by a system without human review.</t>
  </si>
  <si>
    <t xml:space="preserve">90% of routine doctor visit claims are auto-adjudicated.</t>
  </si>
  <si>
    <t xml:space="preserve">Claims system</t>
  </si>
  <si>
    <t xml:space="preserve">claim-adjudication, straight-through-processing</t>
  </si>
  <si>
    <t xml:space="preserve">automatic-coverage</t>
  </si>
  <si>
    <t xml:space="preserve">Automatic Coverage</t>
  </si>
  <si>
    <t xml:space="preserve">Newly Acquired Coverage</t>
  </si>
  <si>
    <t xml:space="preserve">Property, Motor, Commercial</t>
  </si>
  <si>
    <t xml:space="preserve">Temporary coverage for newly acquired property until you report it to the insurer.</t>
  </si>
  <si>
    <t xml:space="preserve">A new car is covered for 14–30 days until you add it.</t>
  </si>
  <si>
    <t xml:space="preserve">endorsement</t>
  </si>
  <si>
    <t xml:space="preserve">automatic-premium-loan</t>
  </si>
  <si>
    <t xml:space="preserve">Automatic Premium Loan</t>
  </si>
  <si>
    <t xml:space="preserve">APL</t>
  </si>
  <si>
    <t xml:space="preserve">A feature that automatically borrows from cash value to pay a missed premium to prevent lapse.</t>
  </si>
  <si>
    <t xml:space="preserve">A missed payment is covered by an APL.</t>
  </si>
  <si>
    <t xml:space="preserve">policy-loan, nonforfeiture-options</t>
  </si>
  <si>
    <t xml:space="preserve">average</t>
  </si>
  <si>
    <t xml:space="preserve">Average</t>
  </si>
  <si>
    <t xml:space="preserve">Condition of Average</t>
  </si>
  <si>
    <t xml:space="preserve">Property, Marine/Aviation/Transit</t>
  </si>
  <si>
    <t xml:space="preserve">A clause, similar to coinsurance, that cuts claim payments proportionally when property is underinsured.</t>
  </si>
  <si>
    <t xml:space="preserve">Marine cargo underinsured by half receives half of the loss.</t>
  </si>
  <si>
    <t xml:space="preserve">coinsurance-clause, underinsurance, general-average</t>
  </si>
  <si>
    <t xml:space="preserve">Common in marine and London-market wordings used in the US.</t>
  </si>
  <si>
    <t xml:space="preserve">average-annual-loss</t>
  </si>
  <si>
    <t xml:space="preserve">Average Annual Loss</t>
  </si>
  <si>
    <t xml:space="preserve">AAL</t>
  </si>
  <si>
    <t xml:space="preserve">Property, Reinsurance</t>
  </si>
  <si>
    <t xml:space="preserve">The expected yearly loss from catastrophes, averaged over many simulated years.</t>
  </si>
  <si>
    <t xml:space="preserve">A portfolio's hurricane AAL is $12M.</t>
  </si>
  <si>
    <t xml:space="preserve">catastrophe-model</t>
  </si>
  <si>
    <t xml:space="preserve">Aviation Insurance</t>
  </si>
  <si>
    <t xml:space="preserve">Marine/Aviation/Transit, Specialty</t>
  </si>
  <si>
    <t xml:space="preserve">Coverage for aircraft hull damage and liability for passengers and third parties.</t>
  </si>
  <si>
    <t xml:space="preserve">An airline insures its fleet.</t>
  </si>
  <si>
    <t xml:space="preserve">hull-insurance, aircraft-liability</t>
  </si>
  <si>
    <t xml:space="preserve">backdating</t>
  </si>
  <si>
    <t xml:space="preserve">Backdating</t>
  </si>
  <si>
    <t xml:space="preserve">Setting a life policy's date earlier than the application date to get a lower age-based premium.</t>
  </si>
  <si>
    <t xml:space="preserve">Backdating by 3 months to 'save age'.</t>
  </si>
  <si>
    <t xml:space="preserve">Most states limit backdating to 6 months.</t>
  </si>
  <si>
    <t xml:space="preserve">bad-faith</t>
  </si>
  <si>
    <t xml:space="preserve">Bad Faith</t>
  </si>
  <si>
    <t xml:space="preserve">When an insurer unreasonably fails to meet its duties, such as denying or delaying a valid claim without good reason.</t>
  </si>
  <si>
    <t xml:space="preserve">An insurer ignores a reasonable settlement offer within limits, and the insured faces a large judgment.</t>
  </si>
  <si>
    <t xml:space="preserve">unfair-claims-settlement-practices, duty-to-defend, excess-verdict</t>
  </si>
  <si>
    <t xml:space="preserve">Bad faith law is state-specific; some states allow extra-contractual and punitive damages.</t>
  </si>
  <si>
    <t xml:space="preserve">bail-bond</t>
  </si>
  <si>
    <t xml:space="preserve">Bail Bond</t>
  </si>
  <si>
    <t xml:space="preserve">Specialty, Financial Lines</t>
  </si>
  <si>
    <t xml:space="preserve">A surety bond guaranteeing a defendant will appear in court.</t>
  </si>
  <si>
    <t xml:space="preserve">A bail agent posts bond for a defendant's release.</t>
  </si>
  <si>
    <t xml:space="preserve">surety-bond</t>
  </si>
  <si>
    <t xml:space="preserve">Commercial bail is banned or largely eliminated in a few states, such as Illinois, Kentucky, Oregon and Wisconsin.</t>
  </si>
  <si>
    <t xml:space="preserve">balance-billing</t>
  </si>
  <si>
    <t xml:space="preserve">Balance Billing</t>
  </si>
  <si>
    <t xml:space="preserve">When a provider bills you for the difference between their charge and the allowed amount.</t>
  </si>
  <si>
    <t xml:space="preserve">An out-of-network doctor bills you $120 above what your plan paid.</t>
  </si>
  <si>
    <t xml:space="preserve">allowed-amount, no-surprises-act, out-of-network</t>
  </si>
  <si>
    <t xml:space="preserve">bancassurance</t>
  </si>
  <si>
    <t xml:space="preserve">Bancassurance</t>
  </si>
  <si>
    <t xml:space="preserve">Life, Property</t>
  </si>
  <si>
    <t xml:space="preserve">Selling insurance through banks.</t>
  </si>
  <si>
    <t xml:space="preserve">A bank offers life insurance to mortgage customers.</t>
  </si>
  <si>
    <t xml:space="preserve">embedded-insurance</t>
  </si>
  <si>
    <t xml:space="preserve">Less common in the US than elsewhere because of historic banking law limits, partly lifted by the Gramm-Leach-Bliley Act (1999).</t>
  </si>
  <si>
    <t xml:space="preserve">base-rate</t>
  </si>
  <si>
    <t xml:space="preserve">Base Rate</t>
  </si>
  <si>
    <t xml:space="preserve">The starting rate before adjustments for the specific risk's features.</t>
  </si>
  <si>
    <t xml:space="preserve">A base rate for a territory is then adjusted for driver age and vehicle type.</t>
  </si>
  <si>
    <t xml:space="preserve">rate, rating-factor, rating-algorithm</t>
  </si>
  <si>
    <t xml:space="preserve">basic-form</t>
  </si>
  <si>
    <t xml:space="preserve">Basic Form</t>
  </si>
  <si>
    <t xml:space="preserve">Basic Causes of Loss</t>
  </si>
  <si>
    <t xml:space="preserve">A property coverage form covering a short list of perils such as fire, lightning, windstorm, hail, explosion and vandalism.</t>
  </si>
  <si>
    <t xml:space="preserve">A vacant building insured on a basic form.</t>
  </si>
  <si>
    <t xml:space="preserve">broad-form, special-form, named-perils</t>
  </si>
  <si>
    <t xml:space="preserve">beneficiary</t>
  </si>
  <si>
    <t xml:space="preserve">Beneficiary</t>
  </si>
  <si>
    <t xml:space="preserve">Life, Health, Financial Lines</t>
  </si>
  <si>
    <t xml:space="preserve">The person or organization that receives the money when a claim is paid, especially from a life insurance policy.</t>
  </si>
  <si>
    <t xml:space="preserve">A husband names his wife as beneficiary of his life policy.</t>
  </si>
  <si>
    <t xml:space="preserve">Application form, Policy document</t>
  </si>
  <si>
    <t xml:space="preserve">contingent-beneficiary, primary-beneficiary, policyholder</t>
  </si>
  <si>
    <t xml:space="preserve">benefit-period</t>
  </si>
  <si>
    <t xml:space="preserve">Benefit Period</t>
  </si>
  <si>
    <t xml:space="preserve">How long benefits are paid, or (in Medicare) the span of a hospital or skilled nursing episode.</t>
  </si>
  <si>
    <t xml:space="preserve">An LTD benefit period to age 65.</t>
  </si>
  <si>
    <t xml:space="preserve">elimination-period</t>
  </si>
  <si>
    <t xml:space="preserve">betterment</t>
  </si>
  <si>
    <t xml:space="preserve">Betterment</t>
  </si>
  <si>
    <t xml:space="preserve">A deduction for when a repair makes property better than before the loss.</t>
  </si>
  <si>
    <t xml:space="preserve">New tires installed on a car with worn tires may carry a betterment charge.</t>
  </si>
  <si>
    <t xml:space="preserve">depreciation, indemnity</t>
  </si>
  <si>
    <t xml:space="preserve">bid-bond</t>
  </si>
  <si>
    <t xml:space="preserve">Bid Bond</t>
  </si>
  <si>
    <t xml:space="preserve">A bond guaranteeing that a winning bidder will sign the contract and provide performance and payment bonds.</t>
  </si>
  <si>
    <t xml:space="preserve">A contractor submits a bid bond with a public project bid.</t>
  </si>
  <si>
    <t xml:space="preserve">performance-bond</t>
  </si>
  <si>
    <t xml:space="preserve">billing-system</t>
  </si>
  <si>
    <t xml:space="preserve">Billing System</t>
  </si>
  <si>
    <t xml:space="preserve">Software that manages invoicing, payment plans, collections and commissions for policies.</t>
  </si>
  <si>
    <t xml:space="preserve">The billing system issues a cancellation notice after missed payment.</t>
  </si>
  <si>
    <t xml:space="preserve">policy-administration-system, installment-plan</t>
  </si>
  <si>
    <t xml:space="preserve">binder</t>
  </si>
  <si>
    <t xml:space="preserve">Binder</t>
  </si>
  <si>
    <t xml:space="preserve">Cover Note</t>
  </si>
  <si>
    <t xml:space="preserve">A temporary written agreement that coverage is in force until the policy is issued.</t>
  </si>
  <si>
    <t xml:space="preserve">A 30-day binder given to a mortgage lender at closing.</t>
  </si>
  <si>
    <t xml:space="preserve">binding, issuance</t>
  </si>
  <si>
    <t xml:space="preserve">State rules limit binder duration (often 90 days).</t>
  </si>
  <si>
    <t xml:space="preserve">binding</t>
  </si>
  <si>
    <t xml:space="preserve">Binding</t>
  </si>
  <si>
    <t xml:space="preserve">Bind</t>
  </si>
  <si>
    <t xml:space="preserve">Putting coverage into effect, often before the formal policy is issued.</t>
  </si>
  <si>
    <t xml:space="preserve">Your agent binds coverage at noon so you can drive the new car home.</t>
  </si>
  <si>
    <t xml:space="preserve">binder, quote, issuance</t>
  </si>
  <si>
    <t xml:space="preserve">binding-authority</t>
  </si>
  <si>
    <t xml:space="preserve">Binding Authority</t>
  </si>
  <si>
    <t xml:space="preserve">Delegated Authority</t>
  </si>
  <si>
    <t xml:space="preserve">Permission given by an insurer to an agent or MGA to accept risks and issue coverage on its behalf.</t>
  </si>
  <si>
    <t xml:space="preserve">An MGA has authority to bind small restaurant policies.</t>
  </si>
  <si>
    <t xml:space="preserve">managing-general-agent, underwriting-authority, binder</t>
  </si>
  <si>
    <t xml:space="preserve">birthday-rule</t>
  </si>
  <si>
    <t xml:space="preserve">Birthday Rule</t>
  </si>
  <si>
    <t xml:space="preserve">A COB rule: for a child covered by both parents' plans, the plan of the parent whose birthday comes first in the year pays first.</t>
  </si>
  <si>
    <t xml:space="preserve">Mom's birthday is March 5, Dad's is July 9, so Mom's plan is primary.</t>
  </si>
  <si>
    <t xml:space="preserve">coordination-of-benefits</t>
  </si>
  <si>
    <t xml:space="preserve">blanket-coverage</t>
  </si>
  <si>
    <t xml:space="preserve">Blanket Coverage</t>
  </si>
  <si>
    <t xml:space="preserve">Blanket Limit</t>
  </si>
  <si>
    <t xml:space="preserve">One limit that applies across multiple locations or types of property instead of separate limits for each.</t>
  </si>
  <si>
    <t xml:space="preserve">A $10M blanket limit covering five warehouses.</t>
  </si>
  <si>
    <t xml:space="preserve">Declarations page</t>
  </si>
  <si>
    <t xml:space="preserve">schedule, coinsurance-clause</t>
  </si>
  <si>
    <t xml:space="preserve">blanket-waiver-of-subrogation</t>
  </si>
  <si>
    <t xml:space="preserve">Blanket Waiver of Subrogation</t>
  </si>
  <si>
    <t xml:space="preserve">An endorsement that waives subrogation against anyone the insured agreed in a written contract to waive it for.</t>
  </si>
  <si>
    <t xml:space="preserve">A workers' comp policy includes a blanket waiver for all contract clients.</t>
  </si>
  <si>
    <t xml:space="preserve">waiver-of-subrogation, endorsement</t>
  </si>
  <si>
    <t xml:space="preserve">bodily-injury</t>
  </si>
  <si>
    <t xml:space="preserve">Bodily Injury</t>
  </si>
  <si>
    <t xml:space="preserve">Casualty/Liability, Motor, Commercial</t>
  </si>
  <si>
    <t xml:space="preserve">Physical injury, sickness or disease to a person, including resulting death.</t>
  </si>
  <si>
    <t xml:space="preserve">A customer breaks a leg in your store.</t>
  </si>
  <si>
    <t xml:space="preserve">property-damage, bodily-injury-liability</t>
  </si>
  <si>
    <t xml:space="preserve">bodily-injury-liability</t>
  </si>
  <si>
    <t xml:space="preserve">Bodily Injury Liability</t>
  </si>
  <si>
    <t xml:space="preserve">BI</t>
  </si>
  <si>
    <t xml:space="preserve">Casualty/Liability, Motor</t>
  </si>
  <si>
    <t xml:space="preserve">Pays for injuries you cause to other people.</t>
  </si>
  <si>
    <t xml:space="preserve">You cause a crash; BI pays the other driver's hospital bills.</t>
  </si>
  <si>
    <t xml:space="preserve">property-damage-liability, split-limits</t>
  </si>
  <si>
    <t xml:space="preserve">bona-fide</t>
  </si>
  <si>
    <t xml:space="preserve">Bona Fide</t>
  </si>
  <si>
    <t xml:space="preserve">Latin for 'in good faith'; genuine and without fraud.</t>
  </si>
  <si>
    <t xml:space="preserve">A bona fide purchaser bought the car without knowing it was stolen.</t>
  </si>
  <si>
    <t xml:space="preserve">utmost-good-faith</t>
  </si>
  <si>
    <t xml:space="preserve">book-of-business</t>
  </si>
  <si>
    <t xml:space="preserve">Book of Business</t>
  </si>
  <si>
    <t xml:space="preserve">Book</t>
  </si>
  <si>
    <t xml:space="preserve">The set of policies written by an agent, broker or insurer.</t>
  </si>
  <si>
    <t xml:space="preserve">An agent's book of 3,000 home and auto policies.</t>
  </si>
  <si>
    <t xml:space="preserve">portfolio</t>
  </si>
  <si>
    <t xml:space="preserve">bordereau</t>
  </si>
  <si>
    <t xml:space="preserve">Bordereau</t>
  </si>
  <si>
    <t xml:space="preserve">Bordereaux</t>
  </si>
  <si>
    <t xml:space="preserve">A regular report listing policies written or claims paid, sent from an MGA or cedent to an insurer or reinsurer.</t>
  </si>
  <si>
    <t xml:space="preserve">An MGA sends a monthly premium bordereau.</t>
  </si>
  <si>
    <t xml:space="preserve">Reinsurance contract, Policy administration system</t>
  </si>
  <si>
    <t xml:space="preserve">managing-general-agent, delegated-authority-data</t>
  </si>
  <si>
    <t xml:space="preserve">bornhuetter-ferguson-method</t>
  </si>
  <si>
    <t xml:space="preserve">Bornhuetter-Ferguson Method</t>
  </si>
  <si>
    <t xml:space="preserve">BF Method</t>
  </si>
  <si>
    <t xml:space="preserve">A reserving method that blends expected losses with actual reported losses, useful for recent, immature years.</t>
  </si>
  <si>
    <t xml:space="preserve">BF is used for the latest accident year where data is thin.</t>
  </si>
  <si>
    <t xml:space="preserve">chain-ladder-method, ibnr</t>
  </si>
  <si>
    <t xml:space="preserve">breach-response</t>
  </si>
  <si>
    <t xml:space="preserve">Breach Response Costs</t>
  </si>
  <si>
    <t xml:space="preserve">First-Party Cyber</t>
  </si>
  <si>
    <t xml:space="preserve">Costs to handle a data breach, like forensics, legal advice, notifying customers and credit monitoring.</t>
  </si>
  <si>
    <t xml:space="preserve">Notifying 50,000 customers after a hack.</t>
  </si>
  <si>
    <t xml:space="preserve">cyber-insurance</t>
  </si>
  <si>
    <t xml:space="preserve">broad-form</t>
  </si>
  <si>
    <t xml:space="preserve">Broad Form</t>
  </si>
  <si>
    <t xml:space="preserve">Broad Causes of Loss</t>
  </si>
  <si>
    <t xml:space="preserve">A property coverage form covering the basic perils plus extra ones like falling objects, weight of ice and snow, and water damage.</t>
  </si>
  <si>
    <t xml:space="preserve">An HO-2 policy is a broad form.</t>
  </si>
  <si>
    <t xml:space="preserve">basic-form, special-form</t>
  </si>
  <si>
    <t xml:space="preserve">broker</t>
  </si>
  <si>
    <t xml:space="preserve">Broker</t>
  </si>
  <si>
    <t xml:space="preserve">Insurance Broker</t>
  </si>
  <si>
    <t xml:space="preserve">A licensed intermediary who represents the buyer and places coverage with insurers.</t>
  </si>
  <si>
    <t xml:space="preserve">A large business uses a broker to build its insurance program.</t>
  </si>
  <si>
    <t xml:space="preserve">insurance-agent, wholesale-broker, broker-of-record</t>
  </si>
  <si>
    <t xml:space="preserve">In many states 'broker' and 'agent' are both licensed as producers; the legal distinction varies.</t>
  </si>
  <si>
    <t xml:space="preserve">broker-of-record</t>
  </si>
  <si>
    <t xml:space="preserve">Broker of Record</t>
  </si>
  <si>
    <t xml:space="preserve">BOR; Agent of Record</t>
  </si>
  <si>
    <t xml:space="preserve">Property, Casualty/Liability, Commercial, Financial Lines</t>
  </si>
  <si>
    <t xml:space="preserve">The broker officially authorized by the client to handle its account with an insurer.</t>
  </si>
  <si>
    <t xml:space="preserve">A client signs a BOR letter switching to a new broker.</t>
  </si>
  <si>
    <t xml:space="preserve">broker, clearance</t>
  </si>
  <si>
    <t xml:space="preserve">builders-risk</t>
  </si>
  <si>
    <t xml:space="preserve">Builders Risk</t>
  </si>
  <si>
    <t xml:space="preserve">Course of Construction</t>
  </si>
  <si>
    <t xml:space="preserve">Covers buildings under construction against damage like fire, theft and wind.</t>
  </si>
  <si>
    <t xml:space="preserve">Covers a half-built apartment building damaged by fire.</t>
  </si>
  <si>
    <t xml:space="preserve">inland-marine-insurance, commercial-property-insurance</t>
  </si>
  <si>
    <t xml:space="preserve">bulk-reserve</t>
  </si>
  <si>
    <t xml:space="preserve">Bulk Reserve</t>
  </si>
  <si>
    <t xml:space="preserve">IBNER; Incurred But Not Enough Reported</t>
  </si>
  <si>
    <t xml:space="preserve">A reserve for expected increases in claims already reported, beyond their case reserves.</t>
  </si>
  <si>
    <t xml:space="preserve">Adding $2M because case reserves on old claims tend to grow.</t>
  </si>
  <si>
    <t xml:space="preserve">ibnr, claim-reserve</t>
  </si>
  <si>
    <t xml:space="preserve">business-associate-agreement</t>
  </si>
  <si>
    <t xml:space="preserve">Business Associate Agreement</t>
  </si>
  <si>
    <t xml:space="preserve">BAA</t>
  </si>
  <si>
    <t xml:space="preserve">A contract required by HIPAA when a vendor handles PHI for a health plan or provider.</t>
  </si>
  <si>
    <t xml:space="preserve">A cloud vendor signs a BAA with a health insurer.</t>
  </si>
  <si>
    <t xml:space="preserve">hipaa, protected-health-information</t>
  </si>
  <si>
    <t xml:space="preserve">business-interruption-insurance</t>
  </si>
  <si>
    <t xml:space="preserve">Business Interruption Insurance</t>
  </si>
  <si>
    <t xml:space="preserve">Business Income; BI; Loss of Income</t>
  </si>
  <si>
    <t xml:space="preserve">Covers lost income and ongoing expenses when a business must close due to covered property damage.</t>
  </si>
  <si>
    <t xml:space="preserve">A restaurant closed 3 months after a fire gets lost profits paid.</t>
  </si>
  <si>
    <t xml:space="preserve">extra-expense, period-of-restoration, contingent-business-interruption, direct-physical-loss</t>
  </si>
  <si>
    <t xml:space="preserve">business-owners-policy</t>
  </si>
  <si>
    <t xml:space="preserve">Business Owners Policy</t>
  </si>
  <si>
    <t xml:space="preserve">BOP</t>
  </si>
  <si>
    <t xml:space="preserve">A package policy for small businesses combining property, liability and business income coverage.</t>
  </si>
  <si>
    <t xml:space="preserve">A small accounting firm buys a BOP.</t>
  </si>
  <si>
    <t xml:space="preserve">commercial-general-liability, commercial-property-insurance</t>
  </si>
  <si>
    <t xml:space="preserve">buy-sell-agreement</t>
  </si>
  <si>
    <t xml:space="preserve">Buy-Sell Agreement</t>
  </si>
  <si>
    <t xml:space="preserve">Life, Commercial</t>
  </si>
  <si>
    <t xml:space="preserve">A contract for owners to buy a deceased owner's share of a business, often funded with life insurance.</t>
  </si>
  <si>
    <t xml:space="preserve">Partners each own a policy on the other.</t>
  </si>
  <si>
    <t xml:space="preserve">key-person-insurance</t>
  </si>
  <si>
    <t xml:space="preserve">calendar-year</t>
  </si>
  <si>
    <t xml:space="preserve">Calendar Year</t>
  </si>
  <si>
    <t xml:space="preserve">Grouping of financial transactions by the year they were recorded, regardless of when the policy or accident happened.</t>
  </si>
  <si>
    <t xml:space="preserve">Calendar year 2025 losses include reserve changes on older claims.</t>
  </si>
  <si>
    <t xml:space="preserve">accident-year, policy-year</t>
  </si>
  <si>
    <t xml:space="preserve">california-earthquake-authority</t>
  </si>
  <si>
    <t xml:space="preserve">California Earthquake Authority</t>
  </si>
  <si>
    <t xml:space="preserve">CEA</t>
  </si>
  <si>
    <t xml:space="preserve">Property, Social/Government</t>
  </si>
  <si>
    <t xml:space="preserve">A publicly managed, privately funded entity that sells residential earthquake insurance through participating insurers.</t>
  </si>
  <si>
    <t xml:space="preserve">You buy a CEA policy through your home insurer.</t>
  </si>
  <si>
    <t xml:space="preserve">earthquake-insurance</t>
  </si>
  <si>
    <t xml:space="preserve">cancel-for-any-reason</t>
  </si>
  <si>
    <t xml:space="preserve">Cancel for Any Reason</t>
  </si>
  <si>
    <t xml:space="preserve">CFAR</t>
  </si>
  <si>
    <t xml:space="preserve">Specialty</t>
  </si>
  <si>
    <t xml:space="preserve">Optional travel coverage letting you cancel for any reason, usually refunding 50–75% of costs.</t>
  </si>
  <si>
    <t xml:space="preserve">You decide not to go and recover 75%.</t>
  </si>
  <si>
    <t xml:space="preserve">Individuals</t>
  </si>
  <si>
    <t xml:space="preserve">trip-cancellation</t>
  </si>
  <si>
    <t xml:space="preserve">cancellation</t>
  </si>
  <si>
    <t xml:space="preserve">Cancellation</t>
  </si>
  <si>
    <t xml:space="preserve">Ending a policy before its expiration date, either by the policyholder or the insurer.</t>
  </si>
  <si>
    <t xml:space="preserve">You cancel your auto policy when you sell your car.</t>
  </si>
  <si>
    <t xml:space="preserve">Policy administration system, Policy document</t>
  </si>
  <si>
    <t xml:space="preserve">non-renewal, pro-rata-cancellation, short-rate-cancellation, flat-cancellation</t>
  </si>
  <si>
    <t xml:space="preserve">States limit insurer cancellation after 60 days of a personal lines policy to reasons like non-payment or fraud.</t>
  </si>
  <si>
    <t xml:space="preserve">cancellation-clause</t>
  </si>
  <si>
    <t xml:space="preserve">Cancellation Clause</t>
  </si>
  <si>
    <t xml:space="preserve">The part of the policy explaining how and when you or the insurer can cancel and how refunds work.</t>
  </si>
  <si>
    <t xml:space="preserve">The insurer must give 10 days' notice if cancelling for non-payment.</t>
  </si>
  <si>
    <t xml:space="preserve">cancellation, non-renewal, pro-rata-cancellation</t>
  </si>
  <si>
    <t xml:space="preserve">State law sets minimum notice periods and allowed reasons for insurer cancellation.</t>
  </si>
  <si>
    <t xml:space="preserve">cap-rate</t>
  </si>
  <si>
    <t xml:space="preserve">Cap Rate</t>
  </si>
  <si>
    <t xml:space="preserve">The maximum interest rate an indexed product can credit in a period.</t>
  </si>
  <si>
    <t xml:space="preserve">The index rose 15% but the cap limits credit to 10%.</t>
  </si>
  <si>
    <t xml:space="preserve">participation-rate, floor-rate, indexed-universal-life</t>
  </si>
  <si>
    <t xml:space="preserve">capacity</t>
  </si>
  <si>
    <t xml:space="preserve">Capacity</t>
  </si>
  <si>
    <t xml:space="preserve">The amount of insurance an insurer or market is able and willing to write, limited by capital and appetite.</t>
  </si>
  <si>
    <t xml:space="preserve">After a big hurricane season, property capacity in Florida shrinks.</t>
  </si>
  <si>
    <t xml:space="preserve">Underwriting system, Agent/broker communications</t>
  </si>
  <si>
    <t xml:space="preserve">risk-appetite, hard-market, reinsurance</t>
  </si>
  <si>
    <t xml:space="preserve">capitation</t>
  </si>
  <si>
    <t xml:space="preserve">Capitation</t>
  </si>
  <si>
    <t xml:space="preserve">Paying a provider a fixed amount per member per month regardless of how much care is used.</t>
  </si>
  <si>
    <t xml:space="preserve">A clinic gets $40 per member per month.</t>
  </si>
  <si>
    <t xml:space="preserve">per-member-per-month</t>
  </si>
  <si>
    <t xml:space="preserve">captive-agent</t>
  </si>
  <si>
    <t xml:space="preserve">Captive Agent</t>
  </si>
  <si>
    <t xml:space="preserve">Exclusive Agent; Tied Agent</t>
  </si>
  <si>
    <t xml:space="preserve">An agent who sells for only one insurance company.</t>
  </si>
  <si>
    <t xml:space="preserve">An Allstate agent who sells only Allstate products.</t>
  </si>
  <si>
    <t xml:space="preserve">independent-agent, insurance-agent</t>
  </si>
  <si>
    <t xml:space="preserve">captive-insurance-company</t>
  </si>
  <si>
    <t xml:space="preserve">Captive Insurance Company</t>
  </si>
  <si>
    <t xml:space="preserve">Captive</t>
  </si>
  <si>
    <t xml:space="preserve">Commercial, Alternative Risk Transfer</t>
  </si>
  <si>
    <t xml:space="preserve">An insurance company owned by the business or group it insures.</t>
  </si>
  <si>
    <t xml:space="preserve">A hospital system forms a captive for its malpractice risk.</t>
  </si>
  <si>
    <t xml:space="preserve">alternative-risk-transfer, fronting, self-insurance</t>
  </si>
  <si>
    <t xml:space="preserve">Vermont, Utah, Delaware, North Carolina and others are popular domiciles; 831(b) micro-captives face IRS scrutiny.</t>
  </si>
  <si>
    <t xml:space="preserve">cargo-insurance</t>
  </si>
  <si>
    <t xml:space="preserve">Cargo Insurance</t>
  </si>
  <si>
    <t xml:space="preserve">Marine Cargo</t>
  </si>
  <si>
    <t xml:space="preserve">Covers goods in transit by sea, air or land.</t>
  </si>
  <si>
    <t xml:space="preserve">Coffee damaged by seawater during shipping.</t>
  </si>
  <si>
    <t xml:space="preserve">ocean-marine-insurance, institute-cargo-clauses, warehouse-to-warehouse</t>
  </si>
  <si>
    <t xml:space="preserve">case-reserve-development</t>
  </si>
  <si>
    <t xml:space="preserve">Case Reserve Development</t>
  </si>
  <si>
    <t xml:space="preserve">Changes in case reserves on known claims over time.</t>
  </si>
  <si>
    <t xml:space="preserve">Case reserves on 2022 claims rose 8% this year.</t>
  </si>
  <si>
    <t xml:space="preserve">reserve-development, claim-reserve</t>
  </si>
  <si>
    <t xml:space="preserve">cash-surrender-value</t>
  </si>
  <si>
    <t xml:space="preserve">Cash Surrender Value</t>
  </si>
  <si>
    <t xml:space="preserve">Surrender Value</t>
  </si>
  <si>
    <t xml:space="preserve">The amount you get if you cancel a permanent policy, which is cash value minus surrender charges and loans.</t>
  </si>
  <si>
    <t xml:space="preserve">Surrendering pays $35,000 after a $5,000 surrender charge.</t>
  </si>
  <si>
    <t xml:space="preserve">cash-value, surrender-charge, nonforfeiture-options</t>
  </si>
  <si>
    <t xml:space="preserve">cash-value</t>
  </si>
  <si>
    <t xml:space="preserve">Cash Value</t>
  </si>
  <si>
    <t xml:space="preserve">Policy Value; Account Value</t>
  </si>
  <si>
    <t xml:space="preserve">The savings portion of a permanent life policy that grows over time and can be borrowed or withdrawn.</t>
  </si>
  <si>
    <t xml:space="preserve">After 20 years your whole life policy has $40,000 cash value.</t>
  </si>
  <si>
    <t xml:space="preserve">Policy document, Billing statement</t>
  </si>
  <si>
    <t xml:space="preserve">cash-surrender-value, policy-loan, permanent-life-insurance</t>
  </si>
  <si>
    <t xml:space="preserve">casualty-insurance</t>
  </si>
  <si>
    <t xml:space="preserve">Casualty Insurance</t>
  </si>
  <si>
    <t xml:space="preserve">Insurance mainly concerned with legal liability for injuries and damage to others, plus workers' comp.</t>
  </si>
  <si>
    <t xml:space="preserve">GL, auto liability and workers' comp are casualty lines.</t>
  </si>
  <si>
    <t xml:space="preserve">property-and-casualty, liability</t>
  </si>
  <si>
    <t xml:space="preserve">catastrophe</t>
  </si>
  <si>
    <t xml:space="preserve">Catastrophe</t>
  </si>
  <si>
    <t xml:space="preserve">CAT</t>
  </si>
  <si>
    <t xml:space="preserve">Property, Commercial, Agriculture, Reinsurance</t>
  </si>
  <si>
    <t xml:space="preserve">A single event, such as a hurricane or earthquake, that causes very large losses for many policyholders at once.</t>
  </si>
  <si>
    <t xml:space="preserve">Hurricane Ian caused billions in insured losses.</t>
  </si>
  <si>
    <t xml:space="preserve">Financial statements, Claims system</t>
  </si>
  <si>
    <t xml:space="preserve">catastrophe-model, probable-maximum-loss, catastrophe-bond, pcs-catastrophe</t>
  </si>
  <si>
    <t xml:space="preserve">catastrophe-adjuster</t>
  </si>
  <si>
    <t xml:space="preserve">Catastrophe Adjuster</t>
  </si>
  <si>
    <t xml:space="preserve">CAT Adjuster</t>
  </si>
  <si>
    <t xml:space="preserve">Property, Agriculture</t>
  </si>
  <si>
    <t xml:space="preserve">An adjuster who travels to disaster areas to handle large volumes of claims.</t>
  </si>
  <si>
    <t xml:space="preserve">CAT adjusters work storm claims for weeks after a hurricane.</t>
  </si>
  <si>
    <t xml:space="preserve">independent-adjuster, catastrophe</t>
  </si>
  <si>
    <t xml:space="preserve">Many states issue emergency adjuster licenses after disasters.</t>
  </si>
  <si>
    <t xml:space="preserve">catastrophe-bond</t>
  </si>
  <si>
    <t xml:space="preserve">Catastrophe Bond</t>
  </si>
  <si>
    <t xml:space="preserve">Cat Bond</t>
  </si>
  <si>
    <t xml:space="preserve">A bond that pays investors interest but loses principal if a specified disaster occurs, giving the issuer money to pay claims.</t>
  </si>
  <si>
    <t xml:space="preserve">Investors lose their principal after a qualifying California earthquake.</t>
  </si>
  <si>
    <t xml:space="preserve">insurance-linked-securities, parametric-trigger</t>
  </si>
  <si>
    <t xml:space="preserve">catastrophe-excess-of-loss</t>
  </si>
  <si>
    <t xml:space="preserve">Catastrophe Excess of Loss</t>
  </si>
  <si>
    <t xml:space="preserve">Cat XL; Cat Treaty</t>
  </si>
  <si>
    <t xml:space="preserve">Reinsurance protecting against the total of many losses from one catastrophe event.</t>
  </si>
  <si>
    <t xml:space="preserve">Pays hurricane losses above $100M up to $500M.</t>
  </si>
  <si>
    <t xml:space="preserve">excess-of-loss, catastrophe, hours-clause</t>
  </si>
  <si>
    <t xml:space="preserve">Catastrophe Model</t>
  </si>
  <si>
    <t xml:space="preserve">Cat Model</t>
  </si>
  <si>
    <t xml:space="preserve">Software that simulates thousands of possible disasters to estimate potential losses.</t>
  </si>
  <si>
    <t xml:space="preserve">A hurricane model estimates a 1-in-100-year loss of $500M.</t>
  </si>
  <si>
    <t xml:space="preserve">Financial statements, Underwriting system</t>
  </si>
  <si>
    <t xml:space="preserve">probable-maximum-loss, catastrophe, exceedance-probability</t>
  </si>
  <si>
    <t xml:space="preserve">Florida reviews hurricane models through its Commission on Hurricane Loss Projection Methodology.</t>
  </si>
  <si>
    <t xml:space="preserve">catastrophic-plan</t>
  </si>
  <si>
    <t xml:space="preserve">Catastrophic Plan</t>
  </si>
  <si>
    <t xml:space="preserve">A low-premium, very high-deductible ACA plan for people under 30 or with a hardship exemption.</t>
  </si>
  <si>
    <t xml:space="preserve">A 25-year-old buys a catastrophic plan.</t>
  </si>
  <si>
    <t xml:space="preserve">caveat-emptor</t>
  </si>
  <si>
    <t xml:space="preserve">Caveat Emptor</t>
  </si>
  <si>
    <t xml:space="preserve">Latin for 'let the buyer beware'. It is the opposite of utmost good faith and does not apply to insurance.</t>
  </si>
  <si>
    <t xml:space="preserve">Unlike used car sales, insurance does not follow caveat emptor.</t>
  </si>
  <si>
    <t xml:space="preserve">Ceded Premium</t>
  </si>
  <si>
    <t xml:space="preserve">The premium an insurer pays to its reinsurers.</t>
  </si>
  <si>
    <t xml:space="preserve">$10M ceded to reinsurers this year.</t>
  </si>
  <si>
    <t xml:space="preserve">cession, net-written-premium, assumed-premium</t>
  </si>
  <si>
    <t xml:space="preserve">ceding-commission</t>
  </si>
  <si>
    <t xml:space="preserve">Ceding Commission</t>
  </si>
  <si>
    <t xml:space="preserve">A payment from the reinsurer to the ceding insurer to cover its acquisition costs on ceded business.</t>
  </si>
  <si>
    <t xml:space="preserve">A 30% ceding commission on a quota share.</t>
  </si>
  <si>
    <t xml:space="preserve">Reinsurance contract, Financial statements</t>
  </si>
  <si>
    <t xml:space="preserve">quota-share, profit-commission</t>
  </si>
  <si>
    <t xml:space="preserve">ceding-company</t>
  </si>
  <si>
    <t xml:space="preserve">Ceding Company</t>
  </si>
  <si>
    <t xml:space="preserve">Cedent; Reinsured</t>
  </si>
  <si>
    <t xml:space="preserve">The insurer that transfers (cedes) part of its risk to a reinsurer.</t>
  </si>
  <si>
    <t xml:space="preserve">A regional insurer cedes 40% of its property risk.</t>
  </si>
  <si>
    <t xml:space="preserve">reinsurance, reinsurer, cession</t>
  </si>
  <si>
    <t xml:space="preserve">certificate-of-coverage</t>
  </si>
  <si>
    <t xml:space="preserve">Certificate of Coverage</t>
  </si>
  <si>
    <t xml:space="preserve">Certificate of Insurance (Group)</t>
  </si>
  <si>
    <t xml:space="preserve">A document given to each member of a group plan describing their coverage under the master policy.</t>
  </si>
  <si>
    <t xml:space="preserve">You receive a certificate describing your group life benefit.</t>
  </si>
  <si>
    <t xml:space="preserve">master-policy, group-insurance</t>
  </si>
  <si>
    <t xml:space="preserve">certificate-of-insurance</t>
  </si>
  <si>
    <t xml:space="preserve">Certificate of Insurance</t>
  </si>
  <si>
    <t xml:space="preserve">COI; ACORD 25</t>
  </si>
  <si>
    <t xml:space="preserve">A document proving a business has insurance, often required by clients or landlords. It does not change the policy.</t>
  </si>
  <si>
    <t xml:space="preserve">A contractor gives a COI to a homeowner before starting work.</t>
  </si>
  <si>
    <t xml:space="preserve">additional-insured, acord-forms</t>
  </si>
  <si>
    <t xml:space="preserve">Several states restrict altering standard certificate forms.</t>
  </si>
  <si>
    <t xml:space="preserve">certified-reinsurer</t>
  </si>
  <si>
    <t xml:space="preserve">Certified Reinsurer</t>
  </si>
  <si>
    <t xml:space="preserve">Reciprocal Jurisdiction Reinsurer</t>
  </si>
  <si>
    <t xml:space="preserve">A non-US reinsurer approved by a state to post reduced collateral.</t>
  </si>
  <si>
    <t xml:space="preserve">A Bermuda reinsurer qualifies for reduced collateral.</t>
  </si>
  <si>
    <t xml:space="preserve">credit-for-reinsurance</t>
  </si>
  <si>
    <t xml:space="preserve">cession</t>
  </si>
  <si>
    <t xml:space="preserve">Cession</t>
  </si>
  <si>
    <t xml:space="preserve">Ceded</t>
  </si>
  <si>
    <t xml:space="preserve">The part of a risk or premium passed to a reinsurer.</t>
  </si>
  <si>
    <t xml:space="preserve">Ceding 30% of each policy to the reinsurer.</t>
  </si>
  <si>
    <t xml:space="preserve">ceding-company, ceded-premium</t>
  </si>
  <si>
    <t xml:space="preserve">chain-ladder-method</t>
  </si>
  <si>
    <t xml:space="preserve">Chain Ladder Method</t>
  </si>
  <si>
    <t xml:space="preserve">Development Method</t>
  </si>
  <si>
    <t xml:space="preserve">A reserving method that projects ultimate losses by applying historical development factors to current losses.</t>
  </si>
  <si>
    <t xml:space="preserve">Reserving actuaries run chain ladder on paid and incurred triangles.</t>
  </si>
  <si>
    <t xml:space="preserve">loss-development-triangle, bornhuetter-ferguson-method</t>
  </si>
  <si>
    <t xml:space="preserve">chargeback</t>
  </si>
  <si>
    <t xml:space="preserve">Chargeback</t>
  </si>
  <si>
    <t xml:space="preserve">Commission Chargeback</t>
  </si>
  <si>
    <t xml:space="preserve">Taking back commission from an agent when a policy lapses or is cancelled early.</t>
  </si>
  <si>
    <t xml:space="preserve">An agent repays part of the commission after the policy lapses in month 4.</t>
  </si>
  <si>
    <t xml:space="preserve">commission, lapse</t>
  </si>
  <si>
    <t xml:space="preserve">charterers-liability</t>
  </si>
  <si>
    <t xml:space="preserve">Charterer's Liability</t>
  </si>
  <si>
    <t xml:space="preserve">Covers liabilities of those who charter (rent) a vessel.</t>
  </si>
  <si>
    <t xml:space="preserve">A charterer damages a ship by overloading it.</t>
  </si>
  <si>
    <t xml:space="preserve">protection-and-indemnity</t>
  </si>
  <si>
    <t xml:space="preserve">chip</t>
  </si>
  <si>
    <t xml:space="preserve">CHIP</t>
  </si>
  <si>
    <t xml:space="preserve">Children's Health Insurance Program</t>
  </si>
  <si>
    <t xml:space="preserve">Health, Social/Government</t>
  </si>
  <si>
    <t xml:space="preserve">A federal-state program providing low-cost health coverage for children in families that earn too much for Medicaid.</t>
  </si>
  <si>
    <t xml:space="preserve">A family's kids are covered by CHIP.</t>
  </si>
  <si>
    <t xml:space="preserve">medicaid</t>
  </si>
  <si>
    <t xml:space="preserve">chronic-illness-rider</t>
  </si>
  <si>
    <t xml:space="preserve">Chronic Illness Rider</t>
  </si>
  <si>
    <t xml:space="preserve">A rider paying part of the death benefit if you can't perform two of six activities of daily living or have severe cognitive impairment.</t>
  </si>
  <si>
    <t xml:space="preserve">Dementia triggers monthly payments from the rider.</t>
  </si>
  <si>
    <t xml:space="preserve">accelerated-death-benefit-rider, activities-of-daily-living</t>
  </si>
  <si>
    <t xml:space="preserve">churning</t>
  </si>
  <si>
    <t xml:space="preserve">Churning</t>
  </si>
  <si>
    <t xml:space="preserve">Repeatedly replacing policies, often with the same insurer, mainly to generate new commissions.</t>
  </si>
  <si>
    <t xml:space="preserve">An agent replaces a client's annuity three times in five years.</t>
  </si>
  <si>
    <t xml:space="preserve">twisting, replacement</t>
  </si>
  <si>
    <t xml:space="preserve">citizens-property-insurance</t>
  </si>
  <si>
    <t xml:space="preserve">Citizens Property Insurance Corporation</t>
  </si>
  <si>
    <t xml:space="preserve">Citizens</t>
  </si>
  <si>
    <t xml:space="preserve">Florida's state-created, not-for-profit insurer of last resort for property.</t>
  </si>
  <si>
    <t xml:space="preserve">A Florida homeowner is placed with Citizens after private insurers leave.</t>
  </si>
  <si>
    <t xml:space="preserve">fair-plan, residual-market</t>
  </si>
  <si>
    <t xml:space="preserve">Similar state entities exist in Louisiana; Texas has TWIA for wind.</t>
  </si>
  <si>
    <t xml:space="preserve">civil-authority-coverage</t>
  </si>
  <si>
    <t xml:space="preserve">Civil Authority Coverage</t>
  </si>
  <si>
    <t xml:space="preserve">Business income coverage when government orders block access to your premises due to nearby covered damage.</t>
  </si>
  <si>
    <t xml:space="preserve">Police close your street after a nearby explosion.</t>
  </si>
  <si>
    <t xml:space="preserve">claim</t>
  </si>
  <si>
    <t xml:space="preserve">Claim</t>
  </si>
  <si>
    <t xml:space="preserve">A request to the insurer for payment under a policy after a loss, or a demand against an insured by someone they harmed.</t>
  </si>
  <si>
    <t xml:space="preserve">You file a claim for storm damage to your roof.</t>
  </si>
  <si>
    <t xml:space="preserve">Claim documents, Claims system</t>
  </si>
  <si>
    <t xml:space="preserve">first-notice-of-loss, claimant, claim-settlement</t>
  </si>
  <si>
    <t xml:space="preserve">claim-adjudication</t>
  </si>
  <si>
    <t xml:space="preserve">Claim Adjudication</t>
  </si>
  <si>
    <t xml:space="preserve">Adjudication</t>
  </si>
  <si>
    <t xml:space="preserve">Deciding how much of a health claim the plan will pay based on coverage, network and cost sharing.</t>
  </si>
  <si>
    <t xml:space="preserve">A $1,000 bill is adjudicated to a $600 allowed amount with $120 patient coinsurance.</t>
  </si>
  <si>
    <t xml:space="preserve">Claims system, Explanation of benefits</t>
  </si>
  <si>
    <t xml:space="preserve">explanation-of-benefits, allowed-amount, auto-adjudication</t>
  </si>
  <si>
    <t xml:space="preserve">claim-denial</t>
  </si>
  <si>
    <t xml:space="preserve">Claim Denial</t>
  </si>
  <si>
    <t xml:space="preserve">Declination of Coverage; Denial Letter</t>
  </si>
  <si>
    <t xml:space="preserve">The insurer's decision not to pay a claim, with reasons.</t>
  </si>
  <si>
    <t xml:space="preserve">A flood claim is denied under a home policy's flood exclusion.</t>
  </si>
  <si>
    <t xml:space="preserve">exclusion, reservation-of-rights, appeal</t>
  </si>
  <si>
    <t xml:space="preserve">States require written denial with reasons and time limits under unfair claims practices laws.</t>
  </si>
  <si>
    <t xml:space="preserve">claim-investigation</t>
  </si>
  <si>
    <t xml:space="preserve">Claim Investigation</t>
  </si>
  <si>
    <t xml:space="preserve">Gathering facts, statements and evidence to determine whether and how much to pay on a claim.</t>
  </si>
  <si>
    <t xml:space="preserve">Collecting a police report and witness statements.</t>
  </si>
  <si>
    <t xml:space="preserve">claims-adjuster, recorded-statement</t>
  </si>
  <si>
    <t xml:space="preserve">claim-number</t>
  </si>
  <si>
    <t xml:space="preserve">Claim Number</t>
  </si>
  <si>
    <t xml:space="preserve">A unique reference number assigned to a claim.</t>
  </si>
  <si>
    <t xml:space="preserve">Quote claim number 00-123456 when calling.</t>
  </si>
  <si>
    <t xml:space="preserve">claim, policy-number</t>
  </si>
  <si>
    <t xml:space="preserve">claim-reserve</t>
  </si>
  <si>
    <t xml:space="preserve">Claim Reserve</t>
  </si>
  <si>
    <t xml:space="preserve">Case Reserve</t>
  </si>
  <si>
    <t xml:space="preserve">The amount set aside by the insurer to pay a claim that is still open.</t>
  </si>
  <si>
    <t xml:space="preserve">The adjuster sets a $50,000 reserve on a bodily injury claim.</t>
  </si>
  <si>
    <t xml:space="preserve">Claims system, Financial statements</t>
  </si>
  <si>
    <t xml:space="preserve">reserves, ibnr, reserve-development</t>
  </si>
  <si>
    <t xml:space="preserve">claim-settlement</t>
  </si>
  <si>
    <t xml:space="preserve">Claim Settlement</t>
  </si>
  <si>
    <t xml:space="preserve">Settlement</t>
  </si>
  <si>
    <t xml:space="preserve">The final agreement and payment that resolves a claim.</t>
  </si>
  <si>
    <t xml:space="preserve">You accept $12,000 to settle your car claim.</t>
  </si>
  <si>
    <t xml:space="preserve">claim, release</t>
  </si>
  <si>
    <t xml:space="preserve">claimant</t>
  </si>
  <si>
    <t xml:space="preserve">Claimant</t>
  </si>
  <si>
    <t xml:space="preserve">The person or organization making a claim.</t>
  </si>
  <si>
    <t xml:space="preserve">A pedestrian hit by your car is the claimant on your liability claim.</t>
  </si>
  <si>
    <t xml:space="preserve">claim, third-party</t>
  </si>
  <si>
    <t xml:space="preserve">claims-adjuster</t>
  </si>
  <si>
    <t xml:space="preserve">Claims Adjuster</t>
  </si>
  <si>
    <t xml:space="preserve">Adjuster; Claims Handler; Claims Examiner</t>
  </si>
  <si>
    <t xml:space="preserve">A person who investigates a claim, determines coverage and decides how much to pay.</t>
  </si>
  <si>
    <t xml:space="preserve">An adjuster inspects your hail-damaged roof.</t>
  </si>
  <si>
    <t xml:space="preserve">independent-adjuster, public-adjuster, staff-adjuster</t>
  </si>
  <si>
    <t xml:space="preserve">Adjusters must be licensed in most states.</t>
  </si>
  <si>
    <t xml:space="preserve">claim-leakage</t>
  </si>
  <si>
    <t xml:space="preserve">Claims Leakage</t>
  </si>
  <si>
    <t xml:space="preserve">Money lost through inefficient claims handling, such as overpayment or missed recoveries.</t>
  </si>
  <si>
    <t xml:space="preserve">Failing to pursue subrogation causes leakage.</t>
  </si>
  <si>
    <t xml:space="preserve">claim-settlement, recovery</t>
  </si>
  <si>
    <t xml:space="preserve">claims-management-system</t>
  </si>
  <si>
    <t xml:space="preserve">Claims Management System</t>
  </si>
  <si>
    <t xml:space="preserve">Claims System</t>
  </si>
  <si>
    <t xml:space="preserve">Software that manages claims from first notice through payment and closure.</t>
  </si>
  <si>
    <t xml:space="preserve">Guidewire ClaimCenter tracks reserves and payments.</t>
  </si>
  <si>
    <t xml:space="preserve">first-notice-of-loss, policy-administration-system</t>
  </si>
  <si>
    <t xml:space="preserve">claims-made-policy</t>
  </si>
  <si>
    <t xml:space="preserve">Claims-Made Policy</t>
  </si>
  <si>
    <t xml:space="preserve">Casualty/Liability, Specialty, Financial Lines</t>
  </si>
  <si>
    <t xml:space="preserve">A policy that covers claims first made against you during the policy period, for incidents after the retroactive date.</t>
  </si>
  <si>
    <t xml:space="preserve">A lawyer's malpractice policy responds to a suit filed this year about work done two years ago.</t>
  </si>
  <si>
    <t xml:space="preserve">occurrence-policy, retroactive-date, extended-reporting-period</t>
  </si>
  <si>
    <t xml:space="preserve">class-code</t>
  </si>
  <si>
    <t xml:space="preserve">Class Code</t>
  </si>
  <si>
    <t xml:space="preserve">Classification Code</t>
  </si>
  <si>
    <t xml:space="preserve">A code describing a business's type of work, used to set rates for workers' comp and GL.</t>
  </si>
  <si>
    <t xml:space="preserve">Class 8810 (clerical) has a much lower rate than roofing.</t>
  </si>
  <si>
    <t xml:space="preserve">Rating engine, Declarations page</t>
  </si>
  <si>
    <t xml:space="preserve">ncci, workers-compensation-insurance, naics-code</t>
  </si>
  <si>
    <t xml:space="preserve">classic-car-insurance</t>
  </si>
  <si>
    <t xml:space="preserve">Classic Car Insurance</t>
  </si>
  <si>
    <t xml:space="preserve">Collector Car Insurance</t>
  </si>
  <si>
    <t xml:space="preserve">Insurance for collector vehicles, often on an agreed value basis with mileage limits.</t>
  </si>
  <si>
    <t xml:space="preserve">A 1967 Mustang insured for $55,000 agreed value.</t>
  </si>
  <si>
    <t xml:space="preserve">clean-claim</t>
  </si>
  <si>
    <t xml:space="preserve">Clean Claim</t>
  </si>
  <si>
    <t xml:space="preserve">A health claim that has all the information needed and can be processed without more investigation.</t>
  </si>
  <si>
    <t xml:space="preserve">A correctly coded claim with patient and provider IDs.</t>
  </si>
  <si>
    <t xml:space="preserve">prompt-pay-law, claim-adjudication</t>
  </si>
  <si>
    <t xml:space="preserve">clearance</t>
  </si>
  <si>
    <t xml:space="preserve">Clearance</t>
  </si>
  <si>
    <t xml:space="preserve">Submission Clearance</t>
  </si>
  <si>
    <t xml:space="preserve">Property, Casualty/Liability, Commercial, Specialty, Financial Lines</t>
  </si>
  <si>
    <t xml:space="preserve">Checking whether an insurer has already received a submission for the same client from another broker.</t>
  </si>
  <si>
    <t xml:space="preserve">The system flags a duplicate submission and blocks the second broker.</t>
  </si>
  <si>
    <t xml:space="preserve">Underwriting system, Policy administration system</t>
  </si>
  <si>
    <t xml:space="preserve">submission, broker-of-record</t>
  </si>
  <si>
    <t xml:space="preserve">clearinghouse</t>
  </si>
  <si>
    <t xml:space="preserve">Clearinghouse</t>
  </si>
  <si>
    <t xml:space="preserve">Healthcare Clearinghouse</t>
  </si>
  <si>
    <t xml:space="preserve">A company that checks and forwards electronic health claims between providers and insurers.</t>
  </si>
  <si>
    <t xml:space="preserve">A clinic sends all claims through a clearinghouse.</t>
  </si>
  <si>
    <t xml:space="preserve">edi-837</t>
  </si>
  <si>
    <t xml:space="preserve">clue-report</t>
  </si>
  <si>
    <t xml:space="preserve">CLUE Report</t>
  </si>
  <si>
    <t xml:space="preserve">Comprehensive Loss Underwriting Exchange</t>
  </si>
  <si>
    <t xml:space="preserve">A LexisNexis database report of past auto and home claims used by insurers when underwriting.</t>
  </si>
  <si>
    <t xml:space="preserve">An insurer sees a prior water claim on a house's CLUE report.</t>
  </si>
  <si>
    <t xml:space="preserve">loss-history, a-plus-report</t>
  </si>
  <si>
    <t xml:space="preserve">Consumers can get a free copy yearly under the Fair Credit Reporting Act.</t>
  </si>
  <si>
    <t xml:space="preserve">cms</t>
  </si>
  <si>
    <t xml:space="preserve">CMS</t>
  </si>
  <si>
    <t xml:space="preserve">Centers for Medicare &amp; Medicaid Services</t>
  </si>
  <si>
    <t xml:space="preserve">The federal agency that runs Medicare, works with states on Medicaid and oversees parts of the ACA.</t>
  </si>
  <si>
    <t xml:space="preserve">CMS approves Medicare Advantage plans.</t>
  </si>
  <si>
    <t xml:space="preserve">medicare, medicaid</t>
  </si>
  <si>
    <t xml:space="preserve">cms-1500</t>
  </si>
  <si>
    <t xml:space="preserve">CMS-1500</t>
  </si>
  <si>
    <t xml:space="preserve">HCFA-1500; 837P</t>
  </si>
  <si>
    <t xml:space="preserve">The standard claim form (and its electronic 837P equivalent) used by doctors and other professionals to bill health plans.</t>
  </si>
  <si>
    <t xml:space="preserve">A clinic submits an 837P electronic claim.</t>
  </si>
  <si>
    <t xml:space="preserve">ub-04, edi-837</t>
  </si>
  <si>
    <t xml:space="preserve">cobra</t>
  </si>
  <si>
    <t xml:space="preserve">COBRA</t>
  </si>
  <si>
    <t xml:space="preserve">Consolidated Omnibus Budget Reconciliation Act</t>
  </si>
  <si>
    <t xml:space="preserve">A federal law letting you keep your employer group health coverage for a time after leaving a job, usually paying the full premium plus 2%.</t>
  </si>
  <si>
    <t xml:space="preserve">You keep your plan for 18 months after being laid off.</t>
  </si>
  <si>
    <t xml:space="preserve">continuation-coverage, employer-sponsored-insurance</t>
  </si>
  <si>
    <t xml:space="preserve">Applies to employers with 20+ employees; many states have 'mini-COBRA' laws for smaller employers.</t>
  </si>
  <si>
    <t xml:space="preserve">coinsurance-health</t>
  </si>
  <si>
    <t xml:space="preserve">Coinsurance (Health)</t>
  </si>
  <si>
    <t xml:space="preserve">Coinsurance</t>
  </si>
  <si>
    <t xml:space="preserve">Your share of the cost of a covered service as a percentage, after the deductible is met.</t>
  </si>
  <si>
    <t xml:space="preserve">With 20% coinsurance on a $1,000 bill, you pay $200.</t>
  </si>
  <si>
    <t xml:space="preserve">Explanation of benefits, Policy document</t>
  </si>
  <si>
    <t xml:space="preserve">copayment, deductible, out-of-pocket-maximum, coinsurance-clause</t>
  </si>
  <si>
    <t xml:space="preserve">Not the same as the property coinsurance clause.</t>
  </si>
  <si>
    <t xml:space="preserve">coinsurance-clause</t>
  </si>
  <si>
    <t xml:space="preserve">Coinsurance Clause</t>
  </si>
  <si>
    <t xml:space="preserve">Coinsurance Penalty</t>
  </si>
  <si>
    <t xml:space="preserve">A property policy rule that reduces your claim payment if you insure for less than a set percentage (often 80%) of the property's value.</t>
  </si>
  <si>
    <t xml:space="preserve">Insuring a $1M building for $600,000 with an 80% clause means a claim is paid at 600/800 of the loss.</t>
  </si>
  <si>
    <t xml:space="preserve">underinsurance, insurance-to-value, average</t>
  </si>
  <si>
    <t xml:space="preserve">collateralized-reinsurance</t>
  </si>
  <si>
    <t xml:space="preserve">Collateralized Reinsurance</t>
  </si>
  <si>
    <t xml:space="preserve">Reinsurance fully backed by cash or securities held in trust, often from capital market investors.</t>
  </si>
  <si>
    <t xml:space="preserve">A fund posts $100M collateral to back a reinsurance limit.</t>
  </si>
  <si>
    <t xml:space="preserve">insurance-linked-securities</t>
  </si>
  <si>
    <t xml:space="preserve">collision-coverage</t>
  </si>
  <si>
    <t xml:space="preserve">Collision Coverage</t>
  </si>
  <si>
    <t xml:space="preserve">Pays for damage to your car from hitting another car or object, or from rolling over.</t>
  </si>
  <si>
    <t xml:space="preserve">Your car hits a pole; collision pays after the deductible.</t>
  </si>
  <si>
    <t xml:space="preserve">comprehensive-coverage, deductible</t>
  </si>
  <si>
    <t xml:space="preserve">Optional by law, but usually required by lenders.</t>
  </si>
  <si>
    <t xml:space="preserve">combined-ratio</t>
  </si>
  <si>
    <t xml:space="preserve">Combined Ratio</t>
  </si>
  <si>
    <t xml:space="preserve">Loss ratio plus expense ratio. Under 100% means an underwriting profit; over 100% means an underwriting loss.</t>
  </si>
  <si>
    <t xml:space="preserve">A 60% loss ratio plus 35% expense ratio equals 95%.</t>
  </si>
  <si>
    <t xml:space="preserve">loss-ratio, expense-ratio, underwriting-profit</t>
  </si>
  <si>
    <t xml:space="preserve">combined-single-limit</t>
  </si>
  <si>
    <t xml:space="preserve">Combined Single Limit</t>
  </si>
  <si>
    <t xml:space="preserve">CSL</t>
  </si>
  <si>
    <t xml:space="preserve">One limit covering bodily injury and property damage together per accident.</t>
  </si>
  <si>
    <t xml:space="preserve">A $500,000 CSL for all liability from one crash.</t>
  </si>
  <si>
    <t xml:space="preserve">split-limits, limit-of-liability</t>
  </si>
  <si>
    <t xml:space="preserve">commercial-auto-insurance</t>
  </si>
  <si>
    <t xml:space="preserve">Commercial Auto Insurance</t>
  </si>
  <si>
    <t xml:space="preserve">Business Auto; BAP</t>
  </si>
  <si>
    <t xml:space="preserve">Insurance for vehicles used for business, covering liability and physical damage.</t>
  </si>
  <si>
    <t xml:space="preserve">A plumber's work van.</t>
  </si>
  <si>
    <t xml:space="preserve">hired-and-non-owned-auto, covered-auto-symbols, motor-carrier</t>
  </si>
  <si>
    <t xml:space="preserve">commercial-general-liability</t>
  </si>
  <si>
    <t xml:space="preserve">Commercial General Liability</t>
  </si>
  <si>
    <t xml:space="preserve">CGL; General Liability; GL</t>
  </si>
  <si>
    <t xml:space="preserve">Business insurance covering injuries to others, damage to their property, and personal and advertising injury caused by the business.</t>
  </si>
  <si>
    <t xml:space="preserve">A customer slips in your store; CGL pays.</t>
  </si>
  <si>
    <t xml:space="preserve">occurrence-policy, products-completed-operations, personal-and-advertising-injury</t>
  </si>
  <si>
    <t xml:space="preserve">ISO form CG 00 01 is the standard occurrence form.</t>
  </si>
  <si>
    <t xml:space="preserve">commercial-lines</t>
  </si>
  <si>
    <t xml:space="preserve">Commercial Lines</t>
  </si>
  <si>
    <t xml:space="preserve">Insurance for businesses and organizations.</t>
  </si>
  <si>
    <t xml:space="preserve">General liability and workers' comp are commercial lines.</t>
  </si>
  <si>
    <t xml:space="preserve">personal-lines</t>
  </si>
  <si>
    <t xml:space="preserve">commercial-package-policy</t>
  </si>
  <si>
    <t xml:space="preserve">Commercial Package Policy</t>
  </si>
  <si>
    <t xml:space="preserve">CPP</t>
  </si>
  <si>
    <t xml:space="preserve">A policy combining two or more commercial coverage parts, like property, GL and inland marine.</t>
  </si>
  <si>
    <t xml:space="preserve">A manufacturer's CPP includes property, GL and crime.</t>
  </si>
  <si>
    <t xml:space="preserve">coverage-part, business-owners-policy</t>
  </si>
  <si>
    <t xml:space="preserve">commercial-property-insurance</t>
  </si>
  <si>
    <t xml:space="preserve">Commercial Property Insurance</t>
  </si>
  <si>
    <t xml:space="preserve">Covers a business's buildings, equipment, inventory and other property.</t>
  </si>
  <si>
    <t xml:space="preserve">A bakery's ovens and building damaged by fire.</t>
  </si>
  <si>
    <t xml:space="preserve">business-interruption-insurance, special-form, coinsurance-clause</t>
  </si>
  <si>
    <t xml:space="preserve">commission</t>
  </si>
  <si>
    <t xml:space="preserve">Commission</t>
  </si>
  <si>
    <t xml:space="preserve">Payment to an agent or broker, usually a percentage of premium, for selling a policy.</t>
  </si>
  <si>
    <t xml:space="preserve">A 15% commission on a $2,000 policy is $300.</t>
  </si>
  <si>
    <t xml:space="preserve">Agent/broker communications, Financial statements</t>
  </si>
  <si>
    <t xml:space="preserve">contingent-commission, override, expense-ratio</t>
  </si>
  <si>
    <t xml:space="preserve">community-rating</t>
  </si>
  <si>
    <t xml:space="preserve">Community Rating</t>
  </si>
  <si>
    <t xml:space="preserve">Charging everyone in an area the same base premium, regardless of health; ACA allows adjustments only for age, location, tobacco and family size.</t>
  </si>
  <si>
    <t xml:space="preserve">Two 40-year-olds in the same area pay the same regardless of health.</t>
  </si>
  <si>
    <t xml:space="preserve">medical-underwriting, attained-age</t>
  </si>
  <si>
    <t xml:space="preserve">comparative-negligence</t>
  </si>
  <si>
    <t xml:space="preserve">Comparative Negligence</t>
  </si>
  <si>
    <t xml:space="preserve">Comparative Fault</t>
  </si>
  <si>
    <t xml:space="preserve">A rule that reduces the money you can recover by the percentage you were at fault.</t>
  </si>
  <si>
    <t xml:space="preserve">You are 20% at fault in a crash with $10,000 of damage, so you recover $8,000.</t>
  </si>
  <si>
    <t xml:space="preserve">contributory-negligence, negligence, liability</t>
  </si>
  <si>
    <t xml:space="preserve">Most states use pure or modified comparative negligence; a few use contributory negligence.</t>
  </si>
  <si>
    <t xml:space="preserve">comparative-rater</t>
  </si>
  <si>
    <t xml:space="preserve">Comparative Rater</t>
  </si>
  <si>
    <t xml:space="preserve">Software that lets agents enter data once and get quotes from multiple insurers.</t>
  </si>
  <si>
    <t xml:space="preserve">An independent agent runs one rater for 8 carriers.</t>
  </si>
  <si>
    <t xml:space="preserve">Quote</t>
  </si>
  <si>
    <t xml:space="preserve">agency-management-system, aggregator</t>
  </si>
  <si>
    <t xml:space="preserve">compensatory-damages</t>
  </si>
  <si>
    <t xml:space="preserve">Compensatory Damages</t>
  </si>
  <si>
    <t xml:space="preserve">Money awarded to repay actual losses, such as medical bills, lost wages and pain and suffering.</t>
  </si>
  <si>
    <t xml:space="preserve">An injured worker gets $50,000 for medical bills and lost pay.</t>
  </si>
  <si>
    <t xml:space="preserve">damages, punitive-damages, general-damages</t>
  </si>
  <si>
    <t xml:space="preserve">state-fund</t>
  </si>
  <si>
    <t xml:space="preserve">Competitive State Fund</t>
  </si>
  <si>
    <t xml:space="preserve">Commercial, Social/Government</t>
  </si>
  <si>
    <t xml:space="preserve">A state-created workers' comp insurer that competes with private insurers, often as a market of last resort.</t>
  </si>
  <si>
    <t xml:space="preserve">California's State Compensation Insurance Fund.</t>
  </si>
  <si>
    <t xml:space="preserve">monopolistic-state-fund, residual-market</t>
  </si>
  <si>
    <t xml:space="preserve">comprehensive-coverage</t>
  </si>
  <si>
    <t xml:space="preserve">Comprehensive Coverage</t>
  </si>
  <si>
    <t xml:space="preserve">Other Than Collision; OTC</t>
  </si>
  <si>
    <t xml:space="preserve">Pays for damage to your car from causes other than collision, like theft, hail, fire, flood or hitting an animal.</t>
  </si>
  <si>
    <t xml:space="preserve">Hail dents your car; comprehensive pays.</t>
  </si>
  <si>
    <t xml:space="preserve">collision-coverage, glass-coverage</t>
  </si>
  <si>
    <t xml:space="preserve">compulsory-insurance</t>
  </si>
  <si>
    <t xml:space="preserve">Compulsory Insurance</t>
  </si>
  <si>
    <t xml:space="preserve">Mandatory Insurance</t>
  </si>
  <si>
    <t xml:space="preserve">Insurance required by law, such as auto liability or workers' compensation.</t>
  </si>
  <si>
    <t xml:space="preserve">Your state requires 25/50/25 auto liability.</t>
  </si>
  <si>
    <t xml:space="preserve">financial-responsibility-law, workers-compensation-insurance</t>
  </si>
  <si>
    <t xml:space="preserve">concealment</t>
  </si>
  <si>
    <t xml:space="preserve">Concealment</t>
  </si>
  <si>
    <t xml:space="preserve">Non-Disclosure</t>
  </si>
  <si>
    <t xml:space="preserve">Deliberately hiding a material fact from the insurer.</t>
  </si>
  <si>
    <t xml:space="preserve">Not mentioning a prior home fire when asked about past losses.</t>
  </si>
  <si>
    <t xml:space="preserve">misrepresentation, material-fact, utmost-good-faith</t>
  </si>
  <si>
    <t xml:space="preserve">concurrent-causation</t>
  </si>
  <si>
    <t xml:space="preserve">Concurrent Causation</t>
  </si>
  <si>
    <t xml:space="preserve">When two or more causes, one covered and one excluded, combine to cause a loss.</t>
  </si>
  <si>
    <t xml:space="preserve">Wind (covered) and storm surge (excluded) both damage a house.</t>
  </si>
  <si>
    <t xml:space="preserve">proximate-cause, anti-concurrent-causation-clause</t>
  </si>
  <si>
    <t xml:space="preserve">condition-precedent</t>
  </si>
  <si>
    <t xml:space="preserve">Condition Precedent</t>
  </si>
  <si>
    <t xml:space="preserve">Something that must happen before the insurer has to pay.</t>
  </si>
  <si>
    <t xml:space="preserve">Submitting a proof of loss is a condition precedent to payment.</t>
  </si>
  <si>
    <t xml:space="preserve">conditions, proof-of-loss</t>
  </si>
  <si>
    <t xml:space="preserve">conditional-contract</t>
  </si>
  <si>
    <t xml:space="preserve">Conditional Contract</t>
  </si>
  <si>
    <t xml:space="preserve">A contract where the insurer's duty to pay depends on the insured meeting certain conditions, like reporting claims promptly.</t>
  </si>
  <si>
    <t xml:space="preserve">Failing to report a loss in time can let the insurer deny payment.</t>
  </si>
  <si>
    <t xml:space="preserve">conditions, notice-of-loss</t>
  </si>
  <si>
    <t xml:space="preserve">conditional-renewal</t>
  </si>
  <si>
    <t xml:space="preserve">Conditional Renewal</t>
  </si>
  <si>
    <t xml:space="preserve">A renewal offered with changed terms, such as higher deductible or reduced coverage.</t>
  </si>
  <si>
    <t xml:space="preserve">The insurer renews but raises your wind deductible to 2%.</t>
  </si>
  <si>
    <t xml:space="preserve">Renewal notice</t>
  </si>
  <si>
    <t xml:space="preserve">renewal, non-renewal</t>
  </si>
  <si>
    <t xml:space="preserve">Many states require advance written notice of conditional renewal.</t>
  </si>
  <si>
    <t xml:space="preserve">conditions</t>
  </si>
  <si>
    <t xml:space="preserve">Conditions</t>
  </si>
  <si>
    <t xml:space="preserve">The rules and duties both you and the insurer must follow for the policy to work, such as reporting claims promptly.</t>
  </si>
  <si>
    <t xml:space="preserve">You must notify the insurer 'as soon as practicable' after a loss.</t>
  </si>
  <si>
    <t xml:space="preserve">insuring-agreement, notice-of-loss, duties-after-loss</t>
  </si>
  <si>
    <t xml:space="preserve">master-policy-condo</t>
  </si>
  <si>
    <t xml:space="preserve">Condo Master Policy</t>
  </si>
  <si>
    <t xml:space="preserve">HOA Master Policy</t>
  </si>
  <si>
    <t xml:space="preserve">The policy bought by a condo association to cover common areas and often the building structure.</t>
  </si>
  <si>
    <t xml:space="preserve">The HOA master policy covers the roof and hallways.</t>
  </si>
  <si>
    <t xml:space="preserve">ho-6, loss-assessment-coverage</t>
  </si>
  <si>
    <t xml:space="preserve">Florida and other states set condo association insurance requirements.</t>
  </si>
  <si>
    <t xml:space="preserve">construction-type</t>
  </si>
  <si>
    <t xml:space="preserve">Construction Type</t>
  </si>
  <si>
    <t xml:space="preserve">Construction Class</t>
  </si>
  <si>
    <t xml:space="preserve">How a building is built, such as frame, masonry or fire-resistive, which affects fire risk.</t>
  </si>
  <si>
    <t xml:space="preserve">A frame (wood) house costs more to insure than a masonry one.</t>
  </si>
  <si>
    <t xml:space="preserve">Underwriting system, Rating engine</t>
  </si>
  <si>
    <t xml:space="preserve">cope, occupancy</t>
  </si>
  <si>
    <t xml:space="preserve">ISO uses construction classes 1 through 6.</t>
  </si>
  <si>
    <t xml:space="preserve">constructive-total-loss</t>
  </si>
  <si>
    <t xml:space="preserve">Constructive Total Loss</t>
  </si>
  <si>
    <t xml:space="preserve">CTL</t>
  </si>
  <si>
    <t xml:space="preserve">Property, Motor, Marine/Aviation/Transit</t>
  </si>
  <si>
    <t xml:space="preserve">When repairing or recovering property would cost more than it is worth, so it's treated as a total loss.</t>
  </si>
  <si>
    <t xml:space="preserve">A sunk ship that would cost more to raise than it's worth.</t>
  </si>
  <si>
    <t xml:space="preserve">total-loss, abandonment</t>
  </si>
  <si>
    <t xml:space="preserve">consumer-complaint</t>
  </si>
  <si>
    <t xml:space="preserve">Consumer Complaint</t>
  </si>
  <si>
    <t xml:space="preserve">A formal complaint by a policyholder to the state insurance department about an insurer or agent.</t>
  </si>
  <si>
    <t xml:space="preserve">You complain that your claim hasn't been paid in 60 days.</t>
  </si>
  <si>
    <t xml:space="preserve">state-department-of-insurance, market-conduct-examination</t>
  </si>
  <si>
    <t xml:space="preserve">The NAIC publishes complaint indexes by insurer.</t>
  </si>
  <si>
    <t xml:space="preserve">contestable-period</t>
  </si>
  <si>
    <t xml:space="preserve">Contestable Period</t>
  </si>
  <si>
    <t xml:space="preserve">The period, usually the first two years, during which the insurer can investigate and contest a life policy for misstatements.</t>
  </si>
  <si>
    <t xml:space="preserve">A death in year one triggers a review of the application.</t>
  </si>
  <si>
    <t xml:space="preserve">incontestability-clause, rescission</t>
  </si>
  <si>
    <t xml:space="preserve">contingent-beneficiary</t>
  </si>
  <si>
    <t xml:space="preserve">Contingent Beneficiary</t>
  </si>
  <si>
    <t xml:space="preserve">Secondary Beneficiary</t>
  </si>
  <si>
    <t xml:space="preserve">The person who receives the benefit if the primary beneficiary has died or can't receive it.</t>
  </si>
  <si>
    <t xml:space="preserve">Your children are contingent beneficiaries.</t>
  </si>
  <si>
    <t xml:space="preserve">beneficiary, primary-beneficiary</t>
  </si>
  <si>
    <t xml:space="preserve">contingent-business-interruption</t>
  </si>
  <si>
    <t xml:space="preserve">Contingent Business Interruption</t>
  </si>
  <si>
    <t xml:space="preserve">CBI; Dependent Properties</t>
  </si>
  <si>
    <t xml:space="preserve">Covers lost income caused by damage at a key supplier's or customer's property.</t>
  </si>
  <si>
    <t xml:space="preserve">Your main supplier's factory burns and you can't produce.</t>
  </si>
  <si>
    <t xml:space="preserve">contingent-commission</t>
  </si>
  <si>
    <t xml:space="preserve">Contingent Commission</t>
  </si>
  <si>
    <t xml:space="preserve">Profit Commission; Bonus Commission</t>
  </si>
  <si>
    <t xml:space="preserve">Extra commission paid to an agent based on the profitability or volume of the business they place.</t>
  </si>
  <si>
    <t xml:space="preserve">An agency earns a bonus because its loss ratio was below 50%.</t>
  </si>
  <si>
    <t xml:space="preserve">Some states require disclosure of contingent commissions.</t>
  </si>
  <si>
    <t xml:space="preserve">continuation-coverage</t>
  </si>
  <si>
    <t xml:space="preserve">Continuation Coverage</t>
  </si>
  <si>
    <t xml:space="preserve">Continuing group health coverage after it would otherwise end, such as through COBRA or state law.</t>
  </si>
  <si>
    <t xml:space="preserve">Your spouse continues coverage after divorce.</t>
  </si>
  <si>
    <t xml:space="preserve">cobra, portability</t>
  </si>
  <si>
    <t xml:space="preserve">contra-proferentem</t>
  </si>
  <si>
    <t xml:space="preserve">Contra Proferentem</t>
  </si>
  <si>
    <t xml:space="preserve">Contra Proferentem Rule</t>
  </si>
  <si>
    <t xml:space="preserve">Latin for 'against the offeror'. Unclear wording in a contract is interpreted against the party who wrote it, usually the insurer.</t>
  </si>
  <si>
    <t xml:space="preserve">A court reads an unclear exclusion in the policyholder's favor.</t>
  </si>
  <si>
    <t xml:space="preserve">contract-of-adhesion, ambiguity</t>
  </si>
  <si>
    <t xml:space="preserve">US courts widely apply this rule because policies are usually drafted by insurers.</t>
  </si>
  <si>
    <t xml:space="preserve">contract-of-adhesion</t>
  </si>
  <si>
    <t xml:space="preserve">Contract of Adhesion</t>
  </si>
  <si>
    <t xml:space="preserve">Adhesion Contract</t>
  </si>
  <si>
    <t xml:space="preserve">A take-it-or-leave-it contract written by one party. Insurance policies are usually treated this way, so unclear wording favors the insured.</t>
  </si>
  <si>
    <t xml:space="preserve">You can't negotiate the wording of your standard auto policy.</t>
  </si>
  <si>
    <t xml:space="preserve">contra-proferentem, ambiguity</t>
  </si>
  <si>
    <t xml:space="preserve">contractors-equipment</t>
  </si>
  <si>
    <t xml:space="preserve">Contractors' Equipment Floater</t>
  </si>
  <si>
    <t xml:space="preserve">Commercial, Marine/Aviation/Transit</t>
  </si>
  <si>
    <t xml:space="preserve">Inland marine coverage for mobile tools and heavy equipment wherever they are.</t>
  </si>
  <si>
    <t xml:space="preserve">A stolen excavator from a job site is covered.</t>
  </si>
  <si>
    <t xml:space="preserve">inland-marine-insurance</t>
  </si>
  <si>
    <t xml:space="preserve">contractual-liability</t>
  </si>
  <si>
    <t xml:space="preserve">Contractual Liability</t>
  </si>
  <si>
    <t xml:space="preserve">Insured Contract</t>
  </si>
  <si>
    <t xml:space="preserve">Liability you take on by agreeing in a contract to cover someone else's legal responsibility.</t>
  </si>
  <si>
    <t xml:space="preserve">A lease makes you responsible for injuries in the building.</t>
  </si>
  <si>
    <t xml:space="preserve">hold-harmless-agreement, commercial-general-liability</t>
  </si>
  <si>
    <t xml:space="preserve">contribution</t>
  </si>
  <si>
    <t xml:space="preserve">Contribution</t>
  </si>
  <si>
    <t xml:space="preserve">Other Insurance</t>
  </si>
  <si>
    <t xml:space="preserve">When more than one policy covers the same loss, the insurers share the cost instead of paying twice.</t>
  </si>
  <si>
    <t xml:space="preserve">Two home policies each covering a painting split a $5,000 theft loss.</t>
  </si>
  <si>
    <t xml:space="preserve">other-insurance-clause, indemnity, pro-rata</t>
  </si>
  <si>
    <t xml:space="preserve">contributory-negligence</t>
  </si>
  <si>
    <t xml:space="preserve">Contributory Negligence</t>
  </si>
  <si>
    <t xml:space="preserve">An older rule that bars you from recovering anything if you were even slightly at fault.</t>
  </si>
  <si>
    <t xml:space="preserve">A plaintiff 5% at fault gets nothing under contributory negligence.</t>
  </si>
  <si>
    <t xml:space="preserve">comparative-negligence, negligence</t>
  </si>
  <si>
    <t xml:space="preserve">Still used in a handful of jurisdictions (e.g., Alabama, Maryland, North Carolina, Virginia and D.C.).</t>
  </si>
  <si>
    <t xml:space="preserve">conversion-right</t>
  </si>
  <si>
    <t xml:space="preserve">Conversion Right</t>
  </si>
  <si>
    <t xml:space="preserve">The right to convert group coverage to an individual policy without proving good health.</t>
  </si>
  <si>
    <t xml:space="preserve">After leaving your job, you convert group life to individual whole life within 31 days.</t>
  </si>
  <si>
    <t xml:space="preserve">portability, convertible-term</t>
  </si>
  <si>
    <t xml:space="preserve">convertible-term</t>
  </si>
  <si>
    <t xml:space="preserve">Convertible Term</t>
  </si>
  <si>
    <t xml:space="preserve">Conversion Privilege</t>
  </si>
  <si>
    <t xml:space="preserve">A term policy that lets you switch to permanent insurance without new medical exams.</t>
  </si>
  <si>
    <t xml:space="preserve">You convert your term policy to whole life after a cancer diagnosis.</t>
  </si>
  <si>
    <t xml:space="preserve">term-life-insurance, permanent-life-insurance</t>
  </si>
  <si>
    <t xml:space="preserve">cooperation-clause</t>
  </si>
  <si>
    <t xml:space="preserve">Cooperation Clause</t>
  </si>
  <si>
    <t xml:space="preserve">Casualty/Liability, Commercial, Financial Lines</t>
  </si>
  <si>
    <t xml:space="preserve">A condition requiring you to help the insurer investigate and defend claims.</t>
  </si>
  <si>
    <t xml:space="preserve">You must attend depositions in a lawsuit your insurer is defending.</t>
  </si>
  <si>
    <t xml:space="preserve">conditions, duty-to-defend</t>
  </si>
  <si>
    <t xml:space="preserve">Coordination of Benefits</t>
  </si>
  <si>
    <t xml:space="preserve">COB</t>
  </si>
  <si>
    <t xml:space="preserve">Health, Motor</t>
  </si>
  <si>
    <t xml:space="preserve">Rules that decide which plan pays first when you are covered by more than one plan, so total payments don't exceed the bill.</t>
  </si>
  <si>
    <t xml:space="preserve">Your plan pays first and your spouse's plan pays some of what is left.</t>
  </si>
  <si>
    <t xml:space="preserve">Explanation of benefits, Claims system</t>
  </si>
  <si>
    <t xml:space="preserve">primary-insurance, birthday-rule, other-insurance-clause</t>
  </si>
  <si>
    <t xml:space="preserve">NAIC model rules are used by states; Medicare has its own secondary payer rules.</t>
  </si>
  <si>
    <t xml:space="preserve">copayment</t>
  </si>
  <si>
    <t xml:space="preserve">Copayment</t>
  </si>
  <si>
    <t xml:space="preserve">Copay</t>
  </si>
  <si>
    <t xml:space="preserve">A fixed amount you pay for a covered service, like a doctor visit or prescription.</t>
  </si>
  <si>
    <t xml:space="preserve">A $25 copay for each doctor visit.</t>
  </si>
  <si>
    <t xml:space="preserve">Insurance ID card, Explanation of benefits, Policy document</t>
  </si>
  <si>
    <t xml:space="preserve">coinsurance-health, deductible, cost-sharing</t>
  </si>
  <si>
    <t xml:space="preserve">cope</t>
  </si>
  <si>
    <t xml:space="preserve">COPE</t>
  </si>
  <si>
    <t xml:space="preserve">Construction, Occupancy, Protection, Exposure</t>
  </si>
  <si>
    <t xml:space="preserve">The four key factors used to underwrite property: construction, occupancy, protection and exposure.</t>
  </si>
  <si>
    <t xml:space="preserve">A brick building with sprinklers near a fire station scores well on COPE.</t>
  </si>
  <si>
    <t xml:space="preserve">construction-type, occupancy, protection-class</t>
  </si>
  <si>
    <t xml:space="preserve">core-systems</t>
  </si>
  <si>
    <t xml:space="preserve">Core Systems</t>
  </si>
  <si>
    <t xml:space="preserve">An insurer's main operational systems: policy administration, billing and claims.</t>
  </si>
  <si>
    <t xml:space="preserve">Replacing core systems is a multi-year project.</t>
  </si>
  <si>
    <t xml:space="preserve">policy-administration-system, billing-system, claims-management-system</t>
  </si>
  <si>
    <t xml:space="preserve">cost-of-insurance</t>
  </si>
  <si>
    <t xml:space="preserve">Cost of Insurance</t>
  </si>
  <si>
    <t xml:space="preserve">COI</t>
  </si>
  <si>
    <t xml:space="preserve">The monthly charge deducted from a universal life policy's cash value to pay for the death benefit, rising with age.</t>
  </si>
  <si>
    <t xml:space="preserve">COI charges increase every year as you age.</t>
  </si>
  <si>
    <t xml:space="preserve">universal-life-insurance, net-amount-at-risk</t>
  </si>
  <si>
    <t xml:space="preserve">cost-sharing</t>
  </si>
  <si>
    <t xml:space="preserve">Cost Sharing</t>
  </si>
  <si>
    <t xml:space="preserve">The part of health care costs you pay yourself through deductibles, copays and coinsurance.</t>
  </si>
  <si>
    <t xml:space="preserve">Your cost sharing for the year totaled $2,300.</t>
  </si>
  <si>
    <t xml:space="preserve">deductible, copayment, coinsurance-health, cost-sharing-reductions</t>
  </si>
  <si>
    <t xml:space="preserve">cost-sharing-reductions</t>
  </si>
  <si>
    <t xml:space="preserve">Cost-Sharing Reductions</t>
  </si>
  <si>
    <t xml:space="preserve">CSR</t>
  </si>
  <si>
    <t xml:space="preserve">Extra savings for lower-income people on silver marketplace plans that lower deductibles and copays.</t>
  </si>
  <si>
    <t xml:space="preserve">A CSR silver plan with a $500 deductible instead of $5,000.</t>
  </si>
  <si>
    <t xml:space="preserve">premium-tax-credit, metal-tiers</t>
  </si>
  <si>
    <t xml:space="preserve">coverage</t>
  </si>
  <si>
    <t xml:space="preserve">Coverage</t>
  </si>
  <si>
    <t xml:space="preserve">Cover</t>
  </si>
  <si>
    <t xml:space="preserve">The protection a policy provides against specified losses.</t>
  </si>
  <si>
    <t xml:space="preserve">Your policy has coverage for theft but not for flood.</t>
  </si>
  <si>
    <t xml:space="preserve">insurance-policy, coverage-part</t>
  </si>
  <si>
    <t xml:space="preserve">coverage-code</t>
  </si>
  <si>
    <t xml:space="preserve">Coverage Code</t>
  </si>
  <si>
    <t xml:space="preserve">A code systems use to identify a particular coverage in data and integrations.</t>
  </si>
  <si>
    <t xml:space="preserve">Code 'COLL' for collision coverage.</t>
  </si>
  <si>
    <t xml:space="preserve">product-model, acord</t>
  </si>
  <si>
    <t xml:space="preserve">coverage-part</t>
  </si>
  <si>
    <t xml:space="preserve">Coverage Part</t>
  </si>
  <si>
    <t xml:space="preserve">A section of a commercial package policy for one type of coverage, like property or general liability.</t>
  </si>
  <si>
    <t xml:space="preserve">A package policy includes a property coverage part and a GL coverage part.</t>
  </si>
  <si>
    <t xml:space="preserve">commercial-package-policy, form</t>
  </si>
  <si>
    <t xml:space="preserve">coverage-verification</t>
  </si>
  <si>
    <t xml:space="preserve">Coverage Verification</t>
  </si>
  <si>
    <t xml:space="preserve">Coverage Check</t>
  </si>
  <si>
    <t xml:space="preserve">Confirming that a policy was in force and covers the type of loss reported.</t>
  </si>
  <si>
    <t xml:space="preserve">The adjuster verifies the policy was active on the date of the accident.</t>
  </si>
  <si>
    <t xml:space="preserve">first-notice-of-loss, coverage</t>
  </si>
  <si>
    <t xml:space="preserve">covered-auto-symbols</t>
  </si>
  <si>
    <t xml:space="preserve">Covered Auto Symbols</t>
  </si>
  <si>
    <t xml:space="preserve">Symbols 1–9</t>
  </si>
  <si>
    <t xml:space="preserve">Numbers on a business auto policy that define which vehicles are covered, like symbol 1 (any auto).</t>
  </si>
  <si>
    <t xml:space="preserve">Symbol 1 liability covers any auto used in the business.</t>
  </si>
  <si>
    <t xml:space="preserve">ISO Business Auto form uses symbols 1–9 and 19.</t>
  </si>
  <si>
    <t xml:space="preserve">coverholder</t>
  </si>
  <si>
    <t xml:space="preserve">Coverholder</t>
  </si>
  <si>
    <t xml:space="preserve">A company authorized by a Lloyd's managing agent to bind insurance on its behalf.</t>
  </si>
  <si>
    <t xml:space="preserve">A US MGA acting as a Lloyd's coverholder.</t>
  </si>
  <si>
    <t xml:space="preserve">lloyds, managing-general-agent</t>
  </si>
  <si>
    <t xml:space="preserve">cpt-code</t>
  </si>
  <si>
    <t xml:space="preserve">CPT Code</t>
  </si>
  <si>
    <t xml:space="preserve">Current Procedural Terminology</t>
  </si>
  <si>
    <t xml:space="preserve">Codes that describe medical procedures and services on claims, maintained by the American Medical Association.</t>
  </si>
  <si>
    <t xml:space="preserve">99213 is a common office visit code.</t>
  </si>
  <si>
    <t xml:space="preserve">icd-10, hcpcs</t>
  </si>
  <si>
    <t xml:space="preserve">credibility</t>
  </si>
  <si>
    <t xml:space="preserve">Credibility</t>
  </si>
  <si>
    <t xml:space="preserve">How much weight actuaries give to a particular set of data, based on its size and reliability.</t>
  </si>
  <si>
    <t xml:space="preserve">A small insurer's own data gets 30% credibility; industry data gets 70%.</t>
  </si>
  <si>
    <t xml:space="preserve">law-of-large-numbers, experience-rating</t>
  </si>
  <si>
    <t xml:space="preserve">Credit for Reinsurance</t>
  </si>
  <si>
    <t xml:space="preserve">Rules letting a ceding insurer reduce its liabilities for reinsurance, often requiring collateral from unauthorized reinsurers.</t>
  </si>
  <si>
    <t xml:space="preserve">A cedent holds a letter of credit from an offshore reinsurer.</t>
  </si>
  <si>
    <t xml:space="preserve">reinsurance, certified-reinsurer</t>
  </si>
  <si>
    <t xml:space="preserve">Based on NAIC credit for reinsurance model laws.</t>
  </si>
  <si>
    <t xml:space="preserve">credit-insurance</t>
  </si>
  <si>
    <t xml:space="preserve">Credit Insurance</t>
  </si>
  <si>
    <t xml:space="preserve">Credit Life; Credit Disability</t>
  </si>
  <si>
    <t xml:space="preserve">Life, Financial Lines</t>
  </si>
  <si>
    <t xml:space="preserve">Insurance that pays a loan or credit card balance if the borrower dies, becomes disabled or loses a job.</t>
  </si>
  <si>
    <t xml:space="preserve">Credit life pays off a car loan after the borrower's death.</t>
  </si>
  <si>
    <t xml:space="preserve">mortgage-protection-insurance</t>
  </si>
  <si>
    <t xml:space="preserve">Regulated by state credit insurance laws.</t>
  </si>
  <si>
    <t xml:space="preserve">credit-based-insurance-score</t>
  </si>
  <si>
    <t xml:space="preserve">Credit-Based Insurance Score</t>
  </si>
  <si>
    <t xml:space="preserve">Insurance Score</t>
  </si>
  <si>
    <t xml:space="preserve">A score built from your credit report that predicts insurance losses, used in pricing in many states.</t>
  </si>
  <si>
    <t xml:space="preserve">A strong insurance score lowers your auto premium.</t>
  </si>
  <si>
    <t xml:space="preserve">rating-factor, underwriting</t>
  </si>
  <si>
    <t xml:space="preserve">Banned or restricted in some states, e.g., California, Hawaii and Massachusetts for auto.</t>
  </si>
  <si>
    <t xml:space="preserve">crime-insurance</t>
  </si>
  <si>
    <t xml:space="preserve">Crime Insurance</t>
  </si>
  <si>
    <t xml:space="preserve">Commercial Crime; Fidelity</t>
  </si>
  <si>
    <t xml:space="preserve">Commercial, Financial Lines</t>
  </si>
  <si>
    <t xml:space="preserve">Covers loss of money, securities and property from crimes like employee theft, forgery, robbery and computer fraud.</t>
  </si>
  <si>
    <t xml:space="preserve">A bookkeeper embezzles $200,000.</t>
  </si>
  <si>
    <t xml:space="preserve">employee-dishonesty, social-engineering-fraud, fidelity-bond</t>
  </si>
  <si>
    <t xml:space="preserve">critical-illness-insurance</t>
  </si>
  <si>
    <t xml:space="preserve">Critical Illness Insurance</t>
  </si>
  <si>
    <t xml:space="preserve">Specified Disease Insurance</t>
  </si>
  <si>
    <t xml:space="preserve">Insurance paying a lump sum if you're diagnosed with a covered serious illness like cancer, heart attack or stroke.</t>
  </si>
  <si>
    <t xml:space="preserve">You receive $20,000 after a cancer diagnosis.</t>
  </si>
  <si>
    <t xml:space="preserve">hospital-indemnity-insurance, accident-insurance</t>
  </si>
  <si>
    <t xml:space="preserve">Considered an 'excepted benefit' under federal law.</t>
  </si>
  <si>
    <t xml:space="preserve">crop-insurance</t>
  </si>
  <si>
    <t xml:space="preserve">Crop Insurance</t>
  </si>
  <si>
    <t xml:space="preserve">Federal Crop Insurance; MPCI</t>
  </si>
  <si>
    <t xml:space="preserve">Insurance protecting farmers against crop losses from weather, pests or low prices.</t>
  </si>
  <si>
    <t xml:space="preserve">A drought cuts corn yields and the policy pays.</t>
  </si>
  <si>
    <t xml:space="preserve">multi-peril-crop-insurance, revenue-protection, crop-hail, rma</t>
  </si>
  <si>
    <t xml:space="preserve">crop-hail</t>
  </si>
  <si>
    <t xml:space="preserve">Crop-Hail Insurance</t>
  </si>
  <si>
    <t xml:space="preserve">Private insurance covering crops against hail and sometimes fire, not federally subsidized.</t>
  </si>
  <si>
    <t xml:space="preserve">Hail shreds a tobacco crop.</t>
  </si>
  <si>
    <t xml:space="preserve">customer-portal</t>
  </si>
  <si>
    <t xml:space="preserve">Customer Portal</t>
  </si>
  <si>
    <t xml:space="preserve">Self-Service Portal</t>
  </si>
  <si>
    <t xml:space="preserve">A website or app where policyholders view policies, pay bills, get ID cards and file claims.</t>
  </si>
  <si>
    <t xml:space="preserve">You download your auto ID card from the portal.</t>
  </si>
  <si>
    <t xml:space="preserve">first-notice-of-loss, digital-distribution</t>
  </si>
  <si>
    <t xml:space="preserve">cut-through-clause</t>
  </si>
  <si>
    <t xml:space="preserve">Cut-Through Clause</t>
  </si>
  <si>
    <t xml:space="preserve">A clause letting the policyholder collect directly from the reinsurer if the ceding insurer becomes insolvent.</t>
  </si>
  <si>
    <t xml:space="preserve">A lender requires a cut-through on a small insurer's policy.</t>
  </si>
  <si>
    <t xml:space="preserve">reinsurance, insolvency</t>
  </si>
  <si>
    <t xml:space="preserve">Cyber Insurance</t>
  </si>
  <si>
    <t xml:space="preserve">Cyber Liability; Cyber Risk Insurance</t>
  </si>
  <si>
    <t xml:space="preserve">Covers costs of data breaches, ransomware and other cyber events, including notification, recovery, extortion and liability.</t>
  </si>
  <si>
    <t xml:space="preserve">After ransomware, the policy pays forensics, restoration and legal costs.</t>
  </si>
  <si>
    <t xml:space="preserve">ransomware, breach-response, network-security-liability, war-exclusion</t>
  </si>
  <si>
    <t xml:space="preserve">All states have data breach notification laws that drive cyber costs.</t>
  </si>
  <si>
    <t xml:space="preserve">damages</t>
  </si>
  <si>
    <t xml:space="preserve">Damages</t>
  </si>
  <si>
    <t xml:space="preserve">Casualty/Liability, Motor, Commercial, Financial Lines</t>
  </si>
  <si>
    <t xml:space="preserve">Money a court awards to someone who has been harmed.</t>
  </si>
  <si>
    <t xml:space="preserve">A jury awards $200,000 in damages to an injured customer.</t>
  </si>
  <si>
    <t xml:space="preserve">Claim documents, Policy document</t>
  </si>
  <si>
    <t xml:space="preserve">compensatory-damages, punitive-damages, liability</t>
  </si>
  <si>
    <t xml:space="preserve">data-call</t>
  </si>
  <si>
    <t xml:space="preserve">Data Call</t>
  </si>
  <si>
    <t xml:space="preserve">A request by a regulator for specific data from insurers.</t>
  </si>
  <si>
    <t xml:space="preserve">A state asks all insurers for wildfire non-renewal counts.</t>
  </si>
  <si>
    <t xml:space="preserve">statistical-reporting</t>
  </si>
  <si>
    <t xml:space="preserve">de-minimis</t>
  </si>
  <si>
    <t xml:space="preserve">De Minimis</t>
  </si>
  <si>
    <t xml:space="preserve">Latin for 'about minimal things'. Something too small to matter.</t>
  </si>
  <si>
    <t xml:space="preserve">A $2 premium adjustment may be waived as de minimis.</t>
  </si>
  <si>
    <t xml:space="preserve">death-benefit</t>
  </si>
  <si>
    <t xml:space="preserve">Death Benefit</t>
  </si>
  <si>
    <t xml:space="preserve">Face Amount; Sum Assured</t>
  </si>
  <si>
    <t xml:space="preserve">The amount paid to beneficiaries when the insured person dies.</t>
  </si>
  <si>
    <t xml:space="preserve">A $250,000 death benefit paid to your spouse.</t>
  </si>
  <si>
    <t xml:space="preserve">face-amount, life-insurance, beneficiary</t>
  </si>
  <si>
    <t xml:space="preserve">declarations-page</t>
  </si>
  <si>
    <t xml:space="preserve">Declarations Page</t>
  </si>
  <si>
    <t xml:space="preserve">Declarations; Dec Page; Schedule</t>
  </si>
  <si>
    <t xml:space="preserve">The summary page of your policy showing who is insured, what is covered, limits, deductibles, premium and policy dates.</t>
  </si>
  <si>
    <t xml:space="preserve">Your auto dec page lists your cars, drivers, coverages and six-month premium.</t>
  </si>
  <si>
    <t xml:space="preserve">insurance-policy, named-insured, policy-period</t>
  </si>
  <si>
    <t xml:space="preserve">declination</t>
  </si>
  <si>
    <t xml:space="preserve">Declination</t>
  </si>
  <si>
    <t xml:space="preserve">Decline</t>
  </si>
  <si>
    <t xml:space="preserve">A decision by the insurer not to offer coverage or not to pay a claim.</t>
  </si>
  <si>
    <t xml:space="preserve">An applicant with multiple DUIs is declined.</t>
  </si>
  <si>
    <t xml:space="preserve">Underwriting system, Claim documents</t>
  </si>
  <si>
    <t xml:space="preserve">underwriting, claim-denial</t>
  </si>
  <si>
    <t xml:space="preserve">Some states require written reasons for declining certain personal lines applicants.</t>
  </si>
  <si>
    <t xml:space="preserve">decreasing-term</t>
  </si>
  <si>
    <t xml:space="preserve">Decreasing Term</t>
  </si>
  <si>
    <t xml:space="preserve">Term insurance where the death benefit gets smaller over time, often to match a mortgage balance.</t>
  </si>
  <si>
    <t xml:space="preserve">Coverage falls as your mortgage is paid down.</t>
  </si>
  <si>
    <t xml:space="preserve">term-life-insurance, mortgage-protection-insurance</t>
  </si>
  <si>
    <t xml:space="preserve">deductible</t>
  </si>
  <si>
    <t xml:space="preserve">Deductible</t>
  </si>
  <si>
    <t xml:space="preserve">The amount of a covered loss you pay yourself before the insurer starts paying.</t>
  </si>
  <si>
    <t xml:space="preserve">A $500 deductible on a $3,000 car repair means you pay $500 and the insurer pays $2,500.</t>
  </si>
  <si>
    <t xml:space="preserve">Declarations page, Policy document, Claim documents, Explanation of benefits</t>
  </si>
  <si>
    <t xml:space="preserve">self-insured-retention, coinsurance-health, out-of-pocket-maximum, percentage-deductible</t>
  </si>
  <si>
    <t xml:space="preserve">Health plans often have separate individual and family deductibles; hurricane deductibles in coastal states are often a percentage of the home's insured value.</t>
  </si>
  <si>
    <t xml:space="preserve">defense-costs</t>
  </si>
  <si>
    <t xml:space="preserve">Defense Costs</t>
  </si>
  <si>
    <t xml:space="preserve">Claims Expenses</t>
  </si>
  <si>
    <t xml:space="preserve">Legal fees and costs of defending a claim.</t>
  </si>
  <si>
    <t xml:space="preserve">$80,000 in attorney fees spent defending a lawsuit.</t>
  </si>
  <si>
    <t xml:space="preserve">duty-to-defend, defense-within-limits</t>
  </si>
  <si>
    <t xml:space="preserve">defense-outside-limits</t>
  </si>
  <si>
    <t xml:space="preserve">Defense Outside Limits</t>
  </si>
  <si>
    <t xml:space="preserve">Supplementary Payments</t>
  </si>
  <si>
    <t xml:space="preserve">Defense costs are paid in addition to the policy limit.</t>
  </si>
  <si>
    <t xml:space="preserve">A CGL policy pays defense costs on top of the $1M limit.</t>
  </si>
  <si>
    <t xml:space="preserve">defense-within-limits, supplementary-payments</t>
  </si>
  <si>
    <t xml:space="preserve">defense-within-limits</t>
  </si>
  <si>
    <t xml:space="preserve">Defense Within Limits</t>
  </si>
  <si>
    <t xml:space="preserve">Burning Limits; Eroding Limits; Wasting Policy</t>
  </si>
  <si>
    <t xml:space="preserve">Defense costs reduce the policy limit, leaving less money to pay a settlement.</t>
  </si>
  <si>
    <t xml:space="preserve">$300,000 of legal fees reduces a $1M D&amp;O limit to $700,000.</t>
  </si>
  <si>
    <t xml:space="preserve">defense-outside-limits, defense-costs</t>
  </si>
  <si>
    <t xml:space="preserve">Some states restrict defense-within-limits for certain lines.</t>
  </si>
  <si>
    <t xml:space="preserve">deferred-acquisition-costs</t>
  </si>
  <si>
    <t xml:space="preserve">Deferred Acquisition Costs</t>
  </si>
  <si>
    <t xml:space="preserve">DAC</t>
  </si>
  <si>
    <t xml:space="preserve">Under GAAP, acquisition costs spread over the life of the policy instead of expensed at once.</t>
  </si>
  <si>
    <t xml:space="preserve">A life insurer amortizes DAC over 20 years.</t>
  </si>
  <si>
    <t xml:space="preserve">acquisition-costs, gaap</t>
  </si>
  <si>
    <t xml:space="preserve">deferred-annuity</t>
  </si>
  <si>
    <t xml:space="preserve">Deferred Annuity</t>
  </si>
  <si>
    <t xml:space="preserve">An annuity that grows tax-deferred for years before income payments begin.</t>
  </si>
  <si>
    <t xml:space="preserve">You fund a deferred annuity at 50 and take income at 65.</t>
  </si>
  <si>
    <t xml:space="preserve">annuity, immediate-annuity, accumulation-phase</t>
  </si>
  <si>
    <t xml:space="preserve">definitions-section</t>
  </si>
  <si>
    <t xml:space="preserve">Definitions</t>
  </si>
  <si>
    <t xml:space="preserve">Definitions Section</t>
  </si>
  <si>
    <t xml:space="preserve">The section that explains the exact meaning of key words used in the policy. Defined words are often shown in bold or quotes.</t>
  </si>
  <si>
    <t xml:space="preserve">The policy defines 'your covered auto' to mean vehicles listed on the declarations.</t>
  </si>
  <si>
    <t xml:space="preserve">insuring-agreement, ambiguity</t>
  </si>
  <si>
    <t xml:space="preserve">delegated-authority-data</t>
  </si>
  <si>
    <t xml:space="preserve">Delegated Authority Data</t>
  </si>
  <si>
    <t xml:space="preserve">Bordereaux Management</t>
  </si>
  <si>
    <t xml:space="preserve">Data from MGAs and coverholders about policies and claims written under delegated authority.</t>
  </si>
  <si>
    <t xml:space="preserve">A carrier builds a pipeline to ingest MGA data.</t>
  </si>
  <si>
    <t xml:space="preserve">bordereau, managing-general-agent</t>
  </si>
  <si>
    <t xml:space="preserve">demutualization</t>
  </si>
  <si>
    <t xml:space="preserve">Demutualization</t>
  </si>
  <si>
    <t xml:space="preserve">When a mutual insurer converts to a stock company owned by shareholders.</t>
  </si>
  <si>
    <t xml:space="preserve">Policyholders receive shares when their mutual demutualizes.</t>
  </si>
  <si>
    <t xml:space="preserve">mutual-insurance-company, stock-insurance-company</t>
  </si>
  <si>
    <t xml:space="preserve">dental-insurance</t>
  </si>
  <si>
    <t xml:space="preserve">Dental Insurance</t>
  </si>
  <si>
    <t xml:space="preserve">Coverage for dental care, often paying 100% for preventive, 80% for basic and 50% for major services.</t>
  </si>
  <si>
    <t xml:space="preserve">Two free cleanings per year plus 50% of a crown.</t>
  </si>
  <si>
    <t xml:space="preserve">dependent-business-interruption</t>
  </si>
  <si>
    <t xml:space="preserve">Dependent Business Interruption (Cyber)</t>
  </si>
  <si>
    <t xml:space="preserve">Cyber coverage for lost income when a key technology vendor suffers an outage or attack.</t>
  </si>
  <si>
    <t xml:space="preserve">A cloud provider's outage stops your online store.</t>
  </si>
  <si>
    <t xml:space="preserve">cyber-insurance, contingent-business-interruption</t>
  </si>
  <si>
    <t xml:space="preserve">deposit-premium</t>
  </si>
  <si>
    <t xml:space="preserve">Deposit Premium</t>
  </si>
  <si>
    <t xml:space="preserve">Estimated Premium</t>
  </si>
  <si>
    <t xml:space="preserve">Casualty/Liability, Commercial, Reinsurance</t>
  </si>
  <si>
    <t xml:space="preserve">A premium paid at the start based on estimated exposures, later adjusted.</t>
  </si>
  <si>
    <t xml:space="preserve">A $50,000 deposit premium later adjusted to $55,000.</t>
  </si>
  <si>
    <t xml:space="preserve">premium-audit, minimum-premium</t>
  </si>
  <si>
    <t xml:space="preserve">depreciation</t>
  </si>
  <si>
    <t xml:space="preserve">Depreciation</t>
  </si>
  <si>
    <t xml:space="preserve">The loss in value of property over time due to age, wear and obsolescence.</t>
  </si>
  <si>
    <t xml:space="preserve">A 10-year-old roof has lost much of its value to depreciation.</t>
  </si>
  <si>
    <t xml:space="preserve">actual-cash-value, replacement-cost, recoverable-depreciation</t>
  </si>
  <si>
    <t xml:space="preserve">desk-adjuster</t>
  </si>
  <si>
    <t xml:space="preserve">Desk Adjuster</t>
  </si>
  <si>
    <t xml:space="preserve">Inside Adjuster</t>
  </si>
  <si>
    <t xml:space="preserve">An adjuster who handles claims by phone, email and photos without visiting the scene.</t>
  </si>
  <si>
    <t xml:space="preserve">A small windshield claim handled entirely by a desk adjuster.</t>
  </si>
  <si>
    <t xml:space="preserve">field-adjuster, claims-adjuster</t>
  </si>
  <si>
    <t xml:space="preserve">digital-distribution</t>
  </si>
  <si>
    <t xml:space="preserve">Digital Distribution</t>
  </si>
  <si>
    <t xml:space="preserve">Selling insurance through websites, apps and APIs instead of in-person agents.</t>
  </si>
  <si>
    <t xml:space="preserve">A customer buys renters insurance entirely on a phone.</t>
  </si>
  <si>
    <t xml:space="preserve">insurtech, embedded-insurance</t>
  </si>
  <si>
    <t xml:space="preserve">diligent-search</t>
  </si>
  <si>
    <t xml:space="preserve">Diligent Search</t>
  </si>
  <si>
    <t xml:space="preserve">Property, Casualty/Liability, Commercial, Specialty</t>
  </si>
  <si>
    <t xml:space="preserve">A requirement that a broker first try admitted insurers (often three declinations) before placing in surplus lines.</t>
  </si>
  <si>
    <t xml:space="preserve">A broker documents three admitted carriers declined the risk.</t>
  </si>
  <si>
    <t xml:space="preserve">surplus-lines, surplus-lines-broker</t>
  </si>
  <si>
    <t xml:space="preserve">Details vary by state; some states have 'export lists' that waive it.</t>
  </si>
  <si>
    <t xml:space="preserve">diminished-value</t>
  </si>
  <si>
    <t xml:space="preserve">Diminished Value</t>
  </si>
  <si>
    <t xml:space="preserve">The loss in a car's resale value after it has been in an accident, even when fully repaired.</t>
  </si>
  <si>
    <t xml:space="preserve">A repaired luxury car is worth $3,000 less due to its accident history.</t>
  </si>
  <si>
    <t xml:space="preserve">Third-party diminished value claims are recognized in most states; first-party claims mainly in Georgia.</t>
  </si>
  <si>
    <t xml:space="preserve">Direct Bill</t>
  </si>
  <si>
    <t xml:space="preserve">The insurer bills and collects premium directly from the policyholder and pays commission to the agent.</t>
  </si>
  <si>
    <t xml:space="preserve">You pay your auto premium straight to the insurer.</t>
  </si>
  <si>
    <t xml:space="preserve">direct-physical-loss</t>
  </si>
  <si>
    <t xml:space="preserve">Direct Physical Loss</t>
  </si>
  <si>
    <t xml:space="preserve">Actual physical damage to or loss of property, which is usually required before a property policy pays.</t>
  </si>
  <si>
    <t xml:space="preserve">A fire burning your store is direct physical loss; losing customers due to a recession is not.</t>
  </si>
  <si>
    <t xml:space="preserve">business-interruption-insurance, peril</t>
  </si>
  <si>
    <t xml:space="preserve">Many COVID-19 business interruption suits turned on this phrase.</t>
  </si>
  <si>
    <t xml:space="preserve">direct-repair-program</t>
  </si>
  <si>
    <t xml:space="preserve">Direct Repair Program</t>
  </si>
  <si>
    <t xml:space="preserve">DRP</t>
  </si>
  <si>
    <t xml:space="preserve">A network of body shops approved by an insurer to repair cars with streamlined claims handling.</t>
  </si>
  <si>
    <t xml:space="preserve">You take your car to a DRP shop and the insurer pays it directly.</t>
  </si>
  <si>
    <t xml:space="preserve">Most states let consumers choose their own repair shop.</t>
  </si>
  <si>
    <t xml:space="preserve">direct-writer</t>
  </si>
  <si>
    <t xml:space="preserve">Direct Writer</t>
  </si>
  <si>
    <t xml:space="preserve">Direct Insurer</t>
  </si>
  <si>
    <t xml:space="preserve">An insurer that sells directly to customers through its own employees, website or call centers instead of independent agents.</t>
  </si>
  <si>
    <t xml:space="preserve">GEICO sells auto insurance online and by phone.</t>
  </si>
  <si>
    <t xml:space="preserve">captive-agent, independent-agent</t>
  </si>
  <si>
    <t xml:space="preserve">direct-written-premium</t>
  </si>
  <si>
    <t xml:space="preserve">Direct Written Premium</t>
  </si>
  <si>
    <t xml:space="preserve">DWP</t>
  </si>
  <si>
    <t xml:space="preserve">Premium written by the insurer on its own policies, before reinsurance and excluding reinsurance it assumes.</t>
  </si>
  <si>
    <t xml:space="preserve">State-level market share tables use direct written premium.</t>
  </si>
  <si>
    <t xml:space="preserve">written-premium, assumed-premium</t>
  </si>
  <si>
    <t xml:space="preserve">directors-and-officers-liability</t>
  </si>
  <si>
    <t xml:space="preserve">Directors and Officers Liability</t>
  </si>
  <si>
    <t xml:space="preserve">D&amp;O</t>
  </si>
  <si>
    <t xml:space="preserve">Covers directors and officers against claims alleging wrongful acts in managing the company, and the company itself in some cases.</t>
  </si>
  <si>
    <t xml:space="preserve">Shareholders sue the board over a failed merger.</t>
  </si>
  <si>
    <t xml:space="preserve">side-a, side-b, side-c, wrongful-act, claims-made-policy</t>
  </si>
  <si>
    <t xml:space="preserve">disability-insurance</t>
  </si>
  <si>
    <t xml:space="preserve">Disability Insurance</t>
  </si>
  <si>
    <t xml:space="preserve">Disability Income Insurance; DI</t>
  </si>
  <si>
    <t xml:space="preserve">Insurance that replaces part of your income if illness or injury keeps you from working.</t>
  </si>
  <si>
    <t xml:space="preserve">Pays 60% of salary while you recover from back surgery.</t>
  </si>
  <si>
    <t xml:space="preserve">short-term-disability-insurance, long-term-disability-insurance, own-occupation</t>
  </si>
  <si>
    <t xml:space="preserve">dispute-resolution</t>
  </si>
  <si>
    <t xml:space="preserve">Dispute Resolution</t>
  </si>
  <si>
    <t xml:space="preserve">Ways to settle disagreements between insurer and insured, such as appraisal, mediation, arbitration or court.</t>
  </si>
  <si>
    <t xml:space="preserve">A claim dispute is resolved through mediation.</t>
  </si>
  <si>
    <t xml:space="preserve">appraisal-clause, arbitration-clause</t>
  </si>
  <si>
    <t xml:space="preserve">document-generation</t>
  </si>
  <si>
    <t xml:space="preserve">Document Generation</t>
  </si>
  <si>
    <t xml:space="preserve">Document Composition</t>
  </si>
  <si>
    <t xml:space="preserve">Software that produces policy documents, notices and letters by merging data into templates.</t>
  </si>
  <si>
    <t xml:space="preserve">Declarations pages are generated at issuance.</t>
  </si>
  <si>
    <t xml:space="preserve">policy-administration-system, form</t>
  </si>
  <si>
    <t xml:space="preserve">domicile</t>
  </si>
  <si>
    <t xml:space="preserve">Domicile</t>
  </si>
  <si>
    <t xml:space="preserve">State of Domicile</t>
  </si>
  <si>
    <t xml:space="preserve">The state where an insurer is incorporated, whose regulator is its primary financial supervisor.</t>
  </si>
  <si>
    <t xml:space="preserve">An insurer domiciled in Ohio is licensed in 45 states.</t>
  </si>
  <si>
    <t xml:space="preserve">dram-shop-law</t>
  </si>
  <si>
    <t xml:space="preserve">Dram Shop Law</t>
  </si>
  <si>
    <t xml:space="preserve">State laws making businesses that serve alcohol liable for harm caused by intoxicated customers.</t>
  </si>
  <si>
    <t xml:space="preserve">A bar that over-served a customer is sued.</t>
  </si>
  <si>
    <t xml:space="preserve">liquor-liability</t>
  </si>
  <si>
    <t xml:space="preserve">Rules differ by state; some states have no dram shop liability.</t>
  </si>
  <si>
    <t xml:space="preserve">Driving Record Points</t>
  </si>
  <si>
    <t xml:space="preserve">Surcharge Points</t>
  </si>
  <si>
    <t xml:space="preserve">Points added for accidents and violations that raise auto premiums.</t>
  </si>
  <si>
    <t xml:space="preserve">An at-fault accident adds a 3-year surcharge.</t>
  </si>
  <si>
    <t xml:space="preserve">motor-vehicle-report</t>
  </si>
  <si>
    <t xml:space="preserve">Some states regulate insurer surcharge plans.</t>
  </si>
  <si>
    <t xml:space="preserve">drone-insurance</t>
  </si>
  <si>
    <t xml:space="preserve">Drone Insurance</t>
  </si>
  <si>
    <t xml:space="preserve">UAS Insurance</t>
  </si>
  <si>
    <t xml:space="preserve">Liability and hull coverage for unmanned aircraft.</t>
  </si>
  <si>
    <t xml:space="preserve">A drone crashes into a car during filming.</t>
  </si>
  <si>
    <t xml:space="preserve">drop-down</t>
  </si>
  <si>
    <t xml:space="preserve">Drop Down</t>
  </si>
  <si>
    <t xml:space="preserve">When an umbrella or excess policy steps in to act as primary coverage because underlying limits are used up or don't cover a loss.</t>
  </si>
  <si>
    <t xml:space="preserve">An umbrella drops down to cover a claim excluded by the primary GL.</t>
  </si>
  <si>
    <t xml:space="preserve">umbrella-insurance, self-insured-retention</t>
  </si>
  <si>
    <t xml:space="preserve">drug-tier</t>
  </si>
  <si>
    <t xml:space="preserve">Drug Tier</t>
  </si>
  <si>
    <t xml:space="preserve">Tier</t>
  </si>
  <si>
    <t xml:space="preserve">Levels in a formulary with different cost sharing, such as generic, preferred brand and specialty.</t>
  </si>
  <si>
    <t xml:space="preserve">Tier 1 generics cost $10; tier 4 specialty drugs cost 30%.</t>
  </si>
  <si>
    <t xml:space="preserve">formulary</t>
  </si>
  <si>
    <t xml:space="preserve">dual-eligible</t>
  </si>
  <si>
    <t xml:space="preserve">Dual Eligible</t>
  </si>
  <si>
    <t xml:space="preserve">Duals</t>
  </si>
  <si>
    <t xml:space="preserve">People who qualify for both Medicare and Medicaid.</t>
  </si>
  <si>
    <t xml:space="preserve">A low-income 70-year-old gets both programs.</t>
  </si>
  <si>
    <t xml:space="preserve">Special Needs Plans (D-SNPs) serve this group.</t>
  </si>
  <si>
    <t xml:space="preserve">duck-creek</t>
  </si>
  <si>
    <t xml:space="preserve">Duck Creek</t>
  </si>
  <si>
    <t xml:space="preserve">A software platform for P&amp;C insurers covering policy, billing, claims and rating.</t>
  </si>
  <si>
    <t xml:space="preserve">A carrier uses Duck Creek Rating.</t>
  </si>
  <si>
    <t xml:space="preserve">policy-administration-system</t>
  </si>
  <si>
    <t xml:space="preserve">duties-after-loss</t>
  </si>
  <si>
    <t xml:space="preserve">Duties After Loss</t>
  </si>
  <si>
    <t xml:space="preserve">Duties in the Event of Loss</t>
  </si>
  <si>
    <t xml:space="preserve">Things you must do after a loss, like notifying the insurer, protecting property from more damage and providing records.</t>
  </si>
  <si>
    <t xml:space="preserve">After a burst pipe you must stop the water and keep receipts.</t>
  </si>
  <si>
    <t xml:space="preserve">conditions, notice-of-loss, proof-of-loss</t>
  </si>
  <si>
    <t xml:space="preserve">duty-of-care</t>
  </si>
  <si>
    <t xml:space="preserve">Duty of Care</t>
  </si>
  <si>
    <t xml:space="preserve">A legal obligation to act reasonably to avoid harming others.</t>
  </si>
  <si>
    <t xml:space="preserve">A doctor owes patients a duty of care.</t>
  </si>
  <si>
    <t xml:space="preserve">negligence, liability</t>
  </si>
  <si>
    <t xml:space="preserve">duty-of-disclosure</t>
  </si>
  <si>
    <t xml:space="preserve">Duty of Disclosure</t>
  </si>
  <si>
    <t xml:space="preserve">Your obligation to tell the insurer about important facts when applying for or renewing insurance.</t>
  </si>
  <si>
    <t xml:space="preserve">You must disclose a recent heart surgery on a life insurance application.</t>
  </si>
  <si>
    <t xml:space="preserve">utmost-good-faith, material-fact, concealment</t>
  </si>
  <si>
    <t xml:space="preserve">In the US the duty is usually limited to answering the application's questions truthfully, except in marine insurance.</t>
  </si>
  <si>
    <t xml:space="preserve">duty-to-defend</t>
  </si>
  <si>
    <t xml:space="preserve">Duty to Defend</t>
  </si>
  <si>
    <t xml:space="preserve">The insurer's obligation to provide and pay for a lawyer to defend you against a covered lawsuit.</t>
  </si>
  <si>
    <t xml:space="preserve">Your insurer hires a lawyer when a customer sues your business.</t>
  </si>
  <si>
    <t xml:space="preserve">duty-to-indemnify, defense-costs, reservation-of-rights</t>
  </si>
  <si>
    <t xml:space="preserve">Most states say the duty to defend is broader than the duty to indemnify.</t>
  </si>
  <si>
    <t xml:space="preserve">duty-to-indemnify</t>
  </si>
  <si>
    <t xml:space="preserve">Duty to Indemnify</t>
  </si>
  <si>
    <t xml:space="preserve">The insurer's obligation to pay judgments or settlements for covered claims.</t>
  </si>
  <si>
    <t xml:space="preserve">The insurer pays a $300,000 settlement.</t>
  </si>
  <si>
    <t xml:space="preserve">duty-to-defend, indemnity</t>
  </si>
  <si>
    <t xml:space="preserve">dwelling-coverage</t>
  </si>
  <si>
    <t xml:space="preserve">Dwelling Coverage</t>
  </si>
  <si>
    <t xml:space="preserve">Coverage A</t>
  </si>
  <si>
    <t xml:space="preserve">The part of a home policy that covers the house structure itself.</t>
  </si>
  <si>
    <t xml:space="preserve">Coverage A of $350,000 for the house.</t>
  </si>
  <si>
    <t xml:space="preserve">other-structures-coverage, homeowners-insurance</t>
  </si>
  <si>
    <t xml:space="preserve">dwelling-fire-policy</t>
  </si>
  <si>
    <t xml:space="preserve">Dwelling Fire Policy</t>
  </si>
  <si>
    <t xml:space="preserve">DP-1; DP-2; DP-3; Landlord Policy</t>
  </si>
  <si>
    <t xml:space="preserve">A property policy for homes, often rentals, that doesn't include the full homeowners package.</t>
  </si>
  <si>
    <t xml:space="preserve">A landlord insures a rental house on a DP-3.</t>
  </si>
  <si>
    <t xml:space="preserve">homeowners-insurance, landlord-insurance</t>
  </si>
  <si>
    <t xml:space="preserve">earned-premium</t>
  </si>
  <si>
    <t xml:space="preserve">Earned Premium</t>
  </si>
  <si>
    <t xml:space="preserve">The part of the premium that corresponds to time that has already passed on the policy.</t>
  </si>
  <si>
    <t xml:space="preserve">After 3 months on a $1,200 annual policy, $300 is earned.</t>
  </si>
  <si>
    <t xml:space="preserve">unearned-premium, written-premium</t>
  </si>
  <si>
    <t xml:space="preserve">earth-movement-exclusion</t>
  </si>
  <si>
    <t xml:space="preserve">Earth Movement Exclusion</t>
  </si>
  <si>
    <t xml:space="preserve">Excludes damage from earthquakes, landslides, sinkholes and similar ground movement.</t>
  </si>
  <si>
    <t xml:space="preserve">A crack from an earthquake is excluded unless you bought earthquake coverage.</t>
  </si>
  <si>
    <t xml:space="preserve">exclusion, earthquake-insurance</t>
  </si>
  <si>
    <t xml:space="preserve">Florida requires insurers to offer sinkhole coverage and cover catastrophic ground cover collapse.</t>
  </si>
  <si>
    <t xml:space="preserve">Earthquake Insurance</t>
  </si>
  <si>
    <t xml:space="preserve">Coverage for damage from earthquakes, usually sold separately with a high percentage deductible.</t>
  </si>
  <si>
    <t xml:space="preserve">A 15% deductible earthquake policy.</t>
  </si>
  <si>
    <t xml:space="preserve">earth-movement-exclusion, percentage-deductible</t>
  </si>
  <si>
    <t xml:space="preserve">In California it is often bought from the California Earthquake Authority (CEA).</t>
  </si>
  <si>
    <t xml:space="preserve">edi-834</t>
  </si>
  <si>
    <t xml:space="preserve">EDI 834</t>
  </si>
  <si>
    <t xml:space="preserve">X12 834</t>
  </si>
  <si>
    <t xml:space="preserve">The HIPAA standard electronic format for enrolling members in health plans.</t>
  </si>
  <si>
    <t xml:space="preserve">An employer sends a weekly 834 enrollment file.</t>
  </si>
  <si>
    <t xml:space="preserve">edi-835</t>
  </si>
  <si>
    <t xml:space="preserve">EDI 835</t>
  </si>
  <si>
    <t xml:space="preserve">X12 835; Electronic Remittance Advice</t>
  </si>
  <si>
    <t xml:space="preserve">The HIPAA standard electronic format for health plan payment and remittance information sent to providers.</t>
  </si>
  <si>
    <t xml:space="preserve">A hospital auto-posts payments from 835 files.</t>
  </si>
  <si>
    <t xml:space="preserve">edi-837, explanation-of-benefits</t>
  </si>
  <si>
    <t xml:space="preserve">EDI 837</t>
  </si>
  <si>
    <t xml:space="preserve">X12 837</t>
  </si>
  <si>
    <t xml:space="preserve">The HIPAA standard electronic format for submitting health care claims.</t>
  </si>
  <si>
    <t xml:space="preserve">A clearinghouse transmits 837 files to insurers.</t>
  </si>
  <si>
    <t xml:space="preserve">edi-835, cms-1500, hipaa</t>
  </si>
  <si>
    <t xml:space="preserve">effective-date</t>
  </si>
  <si>
    <t xml:space="preserve">Effective Date</t>
  </si>
  <si>
    <t xml:space="preserve">Inception Date</t>
  </si>
  <si>
    <t xml:space="preserve">The date and time coverage begins.</t>
  </si>
  <si>
    <t xml:space="preserve">Your policy is effective at 12:01 a.m. on March 1.</t>
  </si>
  <si>
    <t xml:space="preserve">policy-period, expiration-date, binding</t>
  </si>
  <si>
    <t xml:space="preserve">effective-dating</t>
  </si>
  <si>
    <t xml:space="preserve">Effective Dating</t>
  </si>
  <si>
    <t xml:space="preserve">Recording when each version of policy data became true, so systems can show the policy as of any date.</t>
  </si>
  <si>
    <t xml:space="preserve">A query shows which drivers were on the policy last March.</t>
  </si>
  <si>
    <t xml:space="preserve">out-of-sequence-endorsement, mid-term-adjustment</t>
  </si>
  <si>
    <t xml:space="preserve">elevation-certificate</t>
  </si>
  <si>
    <t xml:space="preserve">Elevation Certificate</t>
  </si>
  <si>
    <t xml:space="preserve">A document showing a building's elevation compared to expected flood levels.</t>
  </si>
  <si>
    <t xml:space="preserve">An EC shows the house is 2 feet above base flood elevation.</t>
  </si>
  <si>
    <t xml:space="preserve">flood-zone</t>
  </si>
  <si>
    <t xml:space="preserve">Elimination Period</t>
  </si>
  <si>
    <t xml:space="preserve">The number of days you must be disabled or need care before a disability or long-term care policy starts paying.</t>
  </si>
  <si>
    <t xml:space="preserve">A 90-day elimination period on a long-term disability policy.</t>
  </si>
  <si>
    <t xml:space="preserve">waiting-period, long-term-disability-insurance</t>
  </si>
  <si>
    <t xml:space="preserve">Embedded Insurance</t>
  </si>
  <si>
    <t xml:space="preserve">Insurance offered at the point of sale inside another company's product or purchase flow.</t>
  </si>
  <si>
    <t xml:space="preserve">Buying trip insurance while booking a flight.</t>
  </si>
  <si>
    <t xml:space="preserve">insurtech, affinity-group</t>
  </si>
  <si>
    <t xml:space="preserve">emergency-medical-evacuation</t>
  </si>
  <si>
    <t xml:space="preserve">Emergency Medical Evacuation</t>
  </si>
  <si>
    <t xml:space="preserve">Medevac</t>
  </si>
  <si>
    <t xml:space="preserve">Health, Specialty</t>
  </si>
  <si>
    <t xml:space="preserve">Covers transport to an adequate medical facility or home in a medical emergency while traveling.</t>
  </si>
  <si>
    <t xml:space="preserve">An air ambulance from a remote island.</t>
  </si>
  <si>
    <t xml:space="preserve">travel-insurance</t>
  </si>
  <si>
    <t xml:space="preserve">employee-dishonesty</t>
  </si>
  <si>
    <t xml:space="preserve">Employee Dishonesty</t>
  </si>
  <si>
    <t xml:space="preserve">Employee Theft</t>
  </si>
  <si>
    <t xml:space="preserve">Crime coverage for theft by employees.</t>
  </si>
  <si>
    <t xml:space="preserve">A cashier steals from the register over months.</t>
  </si>
  <si>
    <t xml:space="preserve">crime-insurance, fidelity-bond</t>
  </si>
  <si>
    <t xml:space="preserve">employer-mandate</t>
  </si>
  <si>
    <t xml:space="preserve">Employer Mandate</t>
  </si>
  <si>
    <t xml:space="preserve">Employer Shared Responsibility</t>
  </si>
  <si>
    <t xml:space="preserve">An ACA rule requiring employers with 50 or more full-time employees to offer affordable coverage or pay a penalty.</t>
  </si>
  <si>
    <t xml:space="preserve">A 60-employee company must offer health coverage.</t>
  </si>
  <si>
    <t xml:space="preserve">employer-sponsored-insurance</t>
  </si>
  <si>
    <t xml:space="preserve">Employer-Sponsored Insurance</t>
  </si>
  <si>
    <t xml:space="preserve">Group Health Plan</t>
  </si>
  <si>
    <t xml:space="preserve">Health coverage offered by an employer to employees and families, usually with shared premium costs.</t>
  </si>
  <si>
    <t xml:space="preserve">Your employer pays 75% of your health premium.</t>
  </si>
  <si>
    <t xml:space="preserve">group-insurance, erisa, cobra</t>
  </si>
  <si>
    <t xml:space="preserve">employers-liability</t>
  </si>
  <si>
    <t xml:space="preserve">Employers Liability</t>
  </si>
  <si>
    <t xml:space="preserve">EL; Part Two</t>
  </si>
  <si>
    <t xml:space="preserve">Coverage for lawsuits by employees for work injuries not covered by workers' comp, bundled with WC policies.</t>
  </si>
  <si>
    <t xml:space="preserve">A spouse sues for loss of companionship after a worker's injury.</t>
  </si>
  <si>
    <t xml:space="preserve">workers-compensation-insurance</t>
  </si>
  <si>
    <t xml:space="preserve">employment-practices-liability</t>
  </si>
  <si>
    <t xml:space="preserve">Employment Practices Liability</t>
  </si>
  <si>
    <t xml:space="preserve">EPLI</t>
  </si>
  <si>
    <t xml:space="preserve">Covers employers against claims by employees of discrimination, harassment, wrongful termination and similar issues.</t>
  </si>
  <si>
    <t xml:space="preserve">A former employee sues for wrongful termination.</t>
  </si>
  <si>
    <t xml:space="preserve">directors-and-officers-liability, third-party-epli</t>
  </si>
  <si>
    <t xml:space="preserve">Endorsement</t>
  </si>
  <si>
    <t xml:space="preserve">Rider; Policy Change; Amendment</t>
  </si>
  <si>
    <t xml:space="preserve">A written change added to a policy that adds, removes or changes coverage.</t>
  </si>
  <si>
    <t xml:space="preserve">Adding an endorsement for water backup coverage to a home policy.</t>
  </si>
  <si>
    <t xml:space="preserve">rider, mid-term-adjustment, form</t>
  </si>
  <si>
    <t xml:space="preserve">Endorsement forms usually must be filed with the state department of insurance.</t>
  </si>
  <si>
    <t xml:space="preserve">endowment</t>
  </si>
  <si>
    <t xml:space="preserve">Endowment</t>
  </si>
  <si>
    <t xml:space="preserve">A policy that pays the face amount at a set date if you are alive, or at death if earlier. Also when a whole life policy's cash value equals the death benefit at maturity age.</t>
  </si>
  <si>
    <t xml:space="preserve">A policy endows at age 121.</t>
  </si>
  <si>
    <t xml:space="preserve">whole-life-insurance, maturity-date</t>
  </si>
  <si>
    <t xml:space="preserve">Pure endowment products are rare in the US because of tax rules.</t>
  </si>
  <si>
    <t xml:space="preserve">ensuing-loss</t>
  </si>
  <si>
    <t xml:space="preserve">Ensuing Loss</t>
  </si>
  <si>
    <t xml:space="preserve">A covered loss that follows from an excluded cause.</t>
  </si>
  <si>
    <t xml:space="preserve">Faulty wiring (excluded) causes a fire (covered); the fire damage is an ensuing loss.</t>
  </si>
  <si>
    <t xml:space="preserve">exclusion, exception</t>
  </si>
  <si>
    <t xml:space="preserve">entire-contract-clause</t>
  </si>
  <si>
    <t xml:space="preserve">Entire Contract Clause</t>
  </si>
  <si>
    <t xml:space="preserve">States that the policy plus the attached application make up the whole agreement; nothing outside them counts.</t>
  </si>
  <si>
    <t xml:space="preserve">An agent's verbal promise isn't part of the contract.</t>
  </si>
  <si>
    <t xml:space="preserve">insurance-policy</t>
  </si>
  <si>
    <t xml:space="preserve">environmental-impairment-liability</t>
  </si>
  <si>
    <t xml:space="preserve">Environmental Impairment Liability</t>
  </si>
  <si>
    <t xml:space="preserve">EIL; Pollution Legal Liability; PLL</t>
  </si>
  <si>
    <t xml:space="preserve">Covers cleanup costs and liability for pollution, which standard liability policies exclude.</t>
  </si>
  <si>
    <t xml:space="preserve">A gas station's leaking tank contaminates groundwater.</t>
  </si>
  <si>
    <t xml:space="preserve">pollution-exclusion</t>
  </si>
  <si>
    <t xml:space="preserve">epo</t>
  </si>
  <si>
    <t xml:space="preserve">EPO</t>
  </si>
  <si>
    <t xml:space="preserve">Exclusive Provider Organization</t>
  </si>
  <si>
    <t xml:space="preserve">A plan that covers only in-network care (except emergencies) but usually doesn't require referrals.</t>
  </si>
  <si>
    <t xml:space="preserve">You can see an in-network specialist directly.</t>
  </si>
  <si>
    <t xml:space="preserve">Policy document, Insurance ID card</t>
  </si>
  <si>
    <t xml:space="preserve">hmo, ppo</t>
  </si>
  <si>
    <t xml:space="preserve">equipment-breakdown-insurance</t>
  </si>
  <si>
    <t xml:space="preserve">Equipment Breakdown Insurance</t>
  </si>
  <si>
    <t xml:space="preserve">Boiler and Machinery</t>
  </si>
  <si>
    <t xml:space="preserve">Covers sudden breakdown of equipment like boilers, HVAC, electrical systems and machinery.</t>
  </si>
  <si>
    <t xml:space="preserve">A factory's compressor motor burns out.</t>
  </si>
  <si>
    <t xml:space="preserve">Boiler inspections are required by many states.</t>
  </si>
  <si>
    <t xml:space="preserve">erisa</t>
  </si>
  <si>
    <t xml:space="preserve">ERISA</t>
  </si>
  <si>
    <t xml:space="preserve">Employee Retirement Income Security Act</t>
  </si>
  <si>
    <t xml:space="preserve">A 1974 federal law that sets standards for most private employer benefit plans, including health and life plans.</t>
  </si>
  <si>
    <t xml:space="preserve">An ERISA plan must follow federal appeal procedures.</t>
  </si>
  <si>
    <t xml:space="preserve">self-funded-plan, summary-plan-description, erisa-preemption</t>
  </si>
  <si>
    <t xml:space="preserve">erisa-preemption</t>
  </si>
  <si>
    <t xml:space="preserve">ERISA Preemption</t>
  </si>
  <si>
    <t xml:space="preserve">The rule that ERISA overrides many state laws for employer plans, especially self-funded ones.</t>
  </si>
  <si>
    <t xml:space="preserve">A state mandate doesn't apply to a self-funded plan.</t>
  </si>
  <si>
    <t xml:space="preserve">erisa, self-funded-plan</t>
  </si>
  <si>
    <t xml:space="preserve">Errors and Omissions Insurance</t>
  </si>
  <si>
    <t xml:space="preserve">E&amp;O; Professional Liability; PL</t>
  </si>
  <si>
    <t xml:space="preserve">Covers professionals against claims that mistakes or negligence in their services caused a client financial loss.</t>
  </si>
  <si>
    <t xml:space="preserve">An architect's design error causes costly rework.</t>
  </si>
  <si>
    <t xml:space="preserve">professional-liability-insurance, claims-made-policy, wrongful-act</t>
  </si>
  <si>
    <t xml:space="preserve">essential-health-benefits</t>
  </si>
  <si>
    <t xml:space="preserve">Essential Health Benefits</t>
  </si>
  <si>
    <t xml:space="preserve">EHB</t>
  </si>
  <si>
    <t xml:space="preserve">Ten categories of services ACA plans must cover, like emergency care, hospitalization, maternity, mental health and prescription drugs.</t>
  </si>
  <si>
    <t xml:space="preserve">Your individual plan covers maternity care.</t>
  </si>
  <si>
    <t xml:space="preserve">Each state picks a benchmark plan defining EHB details.</t>
  </si>
  <si>
    <t xml:space="preserve">estimate</t>
  </si>
  <si>
    <t xml:space="preserve">Estimate</t>
  </si>
  <si>
    <t xml:space="preserve">Repair Estimate</t>
  </si>
  <si>
    <t xml:space="preserve">A written calculation of what it will cost to repair damage.</t>
  </si>
  <si>
    <t xml:space="preserve">A body shop estimate of $3,200.</t>
  </si>
  <si>
    <t xml:space="preserve">claims-adjuster, supplement</t>
  </si>
  <si>
    <t xml:space="preserve">estoppel</t>
  </si>
  <si>
    <t xml:space="preserve">Estoppel</t>
  </si>
  <si>
    <t xml:space="preserve">A rule preventing a party from denying something it earlier led someone else to rely on.</t>
  </si>
  <si>
    <t xml:space="preserve">An agent told you a loss was covered, so the insurer may be estopped from denying it.</t>
  </si>
  <si>
    <t xml:space="preserve">waiver</t>
  </si>
  <si>
    <t xml:space="preserve">event-cancellation-insurance</t>
  </si>
  <si>
    <t xml:space="preserve">Event Cancellation Insurance</t>
  </si>
  <si>
    <t xml:space="preserve">Covers lost costs and revenue if an event is cancelled, postponed or disrupted by covered causes.</t>
  </si>
  <si>
    <t xml:space="preserve">A festival cancelled by a hurricane.</t>
  </si>
  <si>
    <t xml:space="preserve">force-majeure</t>
  </si>
  <si>
    <t xml:space="preserve">evidence-of-property-insurance</t>
  </si>
  <si>
    <t xml:space="preserve">Evidence of Property Insurance</t>
  </si>
  <si>
    <t xml:space="preserve">EOI; ACORD 27; ACORD 28</t>
  </si>
  <si>
    <t xml:space="preserve">A document proving property insurance, often requested by lenders.</t>
  </si>
  <si>
    <t xml:space="preserve">A mortgage lender asks for evidence of property insurance.</t>
  </si>
  <si>
    <t xml:space="preserve">certificate-of-insurance, mortgagee-clause</t>
  </si>
  <si>
    <t xml:space="preserve">ex-gratia-payment</t>
  </si>
  <si>
    <t xml:space="preserve">Ex Gratia Payment</t>
  </si>
  <si>
    <t xml:space="preserve">Goodwill Payment</t>
  </si>
  <si>
    <t xml:space="preserve">A payment made by the insurer as a goodwill gesture even though it is not legally required.</t>
  </si>
  <si>
    <t xml:space="preserve">An insurer pays $500 ex gratia for a borderline claim to keep a long-time customer happy.</t>
  </si>
  <si>
    <t xml:space="preserve">Claims system, Claim documents</t>
  </si>
  <si>
    <t xml:space="preserve">claim, claim-settlement</t>
  </si>
  <si>
    <t xml:space="preserve">examination-under-oath</t>
  </si>
  <si>
    <t xml:space="preserve">Examination Under Oath</t>
  </si>
  <si>
    <t xml:space="preserve">EUO</t>
  </si>
  <si>
    <t xml:space="preserve">A formal interview where the insured answers the insurer's questions under oath about a claim.</t>
  </si>
  <si>
    <t xml:space="preserve">An insurer suspects fraud and requests an EUO.</t>
  </si>
  <si>
    <t xml:space="preserve">special-investigations-unit, insurance-fraud</t>
  </si>
  <si>
    <t xml:space="preserve">exceedance-probability</t>
  </si>
  <si>
    <t xml:space="preserve">Exceedance Probability</t>
  </si>
  <si>
    <t xml:space="preserve">EP Curve</t>
  </si>
  <si>
    <t xml:space="preserve">The chance that losses will exceed a certain amount in a year.</t>
  </si>
  <si>
    <t xml:space="preserve">A 1% exceedance probability corresponds to a 100-year loss.</t>
  </si>
  <si>
    <t xml:space="preserve">catastrophe-model, probable-maximum-loss, return-period</t>
  </si>
  <si>
    <t xml:space="preserve">excepted-benefits</t>
  </si>
  <si>
    <t xml:space="preserve">Excepted Benefits</t>
  </si>
  <si>
    <t xml:space="preserve">Types of coverage such as dental, vision, hospital indemnity or AD&amp;D that are exempt from many ACA rules.</t>
  </si>
  <si>
    <t xml:space="preserve">A standalone dental plan is an excepted benefit.</t>
  </si>
  <si>
    <t xml:space="preserve">affordable-care-act, hospital-indemnity-insurance</t>
  </si>
  <si>
    <t xml:space="preserve">exception</t>
  </si>
  <si>
    <t xml:space="preserve">Exception</t>
  </si>
  <si>
    <t xml:space="preserve">Exception to Exclusion</t>
  </si>
  <si>
    <t xml:space="preserve">Wording that gives back coverage that an exclusion would otherwise remove.</t>
  </si>
  <si>
    <t xml:space="preserve">Mold is excluded, except when it results from a covered water leak.</t>
  </si>
  <si>
    <t xml:space="preserve">exclusion, insuring-agreement</t>
  </si>
  <si>
    <t xml:space="preserve">excess-insurance</t>
  </si>
  <si>
    <t xml:space="preserve">Excess Insurance</t>
  </si>
  <si>
    <t xml:space="preserve">Excess Layer</t>
  </si>
  <si>
    <t xml:space="preserve">Insurance that pays only after another policy's limits are used up.</t>
  </si>
  <si>
    <t xml:space="preserve">A $5M excess policy sits above a $1M primary policy.</t>
  </si>
  <si>
    <t xml:space="preserve">primary-insurance, umbrella-insurance, layer</t>
  </si>
  <si>
    <t xml:space="preserve">excess-of-loss</t>
  </si>
  <si>
    <t xml:space="preserve">Excess of Loss</t>
  </si>
  <si>
    <t xml:space="preserve">XOL; XL</t>
  </si>
  <si>
    <t xml:space="preserve">Reinsurance that pays when a loss exceeds the insurer's retention, up to a limit.</t>
  </si>
  <si>
    <t xml:space="preserve">$10M xs $5M: reinsurer pays losses between $5M and $15M.</t>
  </si>
  <si>
    <t xml:space="preserve">non-proportional-reinsurance, catastrophe-excess-of-loss, per-risk-excess</t>
  </si>
  <si>
    <t xml:space="preserve">excess-of-policy-limits</t>
  </si>
  <si>
    <t xml:space="preserve">Excess of Policy Limits</t>
  </si>
  <si>
    <t xml:space="preserve">XPL</t>
  </si>
  <si>
    <t xml:space="preserve">A judgment above the policy limit that the insurer may have to pay if it acted in bad faith.</t>
  </si>
  <si>
    <t xml:space="preserve">A $1M verdict on a $100,000 policy after the insurer refused to settle.</t>
  </si>
  <si>
    <t xml:space="preserve">Claim documents, Reinsurance contract</t>
  </si>
  <si>
    <t xml:space="preserve">extra-contractual-obligations, bad-faith, excess-verdict</t>
  </si>
  <si>
    <t xml:space="preserve">excess-verdict</t>
  </si>
  <si>
    <t xml:space="preserve">Excess Verdict</t>
  </si>
  <si>
    <t xml:space="preserve">Nuclear Verdict</t>
  </si>
  <si>
    <t xml:space="preserve">A court judgment larger than the defendant's insurance limits; very large ones ($10M+) are often called nuclear verdicts.</t>
  </si>
  <si>
    <t xml:space="preserve">A trucking crash leads to a $50M verdict.</t>
  </si>
  <si>
    <t xml:space="preserve">excess-of-policy-limits, social-inflation</t>
  </si>
  <si>
    <t xml:space="preserve">excluded-driver</t>
  </si>
  <si>
    <t xml:space="preserve">Excluded Driver</t>
  </si>
  <si>
    <t xml:space="preserve">Named Driver Exclusion</t>
  </si>
  <si>
    <t xml:space="preserve">A person specifically listed as not covered when driving your car.</t>
  </si>
  <si>
    <t xml:space="preserve">A teen with DUIs is excluded to keep premiums down.</t>
  </si>
  <si>
    <t xml:space="preserve">permissive-user</t>
  </si>
  <si>
    <t xml:space="preserve">Not allowed in some states.</t>
  </si>
  <si>
    <t xml:space="preserve">exclusion</t>
  </si>
  <si>
    <t xml:space="preserve">Exclusion</t>
  </si>
  <si>
    <t xml:space="preserve">A part of the policy that lists what is NOT covered.</t>
  </si>
  <si>
    <t xml:space="preserve">Most home policies exclude flood and earthquake damage.</t>
  </si>
  <si>
    <t xml:space="preserve">insuring-agreement, exception, endorsement</t>
  </si>
  <si>
    <t xml:space="preserve">exclusion-ratio</t>
  </si>
  <si>
    <t xml:space="preserve">Exclusion Ratio</t>
  </si>
  <si>
    <t xml:space="preserve">The part of each non-qualified annuity payment that is a tax-free return of your original investment.</t>
  </si>
  <si>
    <t xml:space="preserve">60% of each payment is tax-free.</t>
  </si>
  <si>
    <t xml:space="preserve">non-qualified-annuity</t>
  </si>
  <si>
    <t xml:space="preserve">exclusive-remedy</t>
  </si>
  <si>
    <t xml:space="preserve">Exclusive Remedy</t>
  </si>
  <si>
    <t xml:space="preserve">The rule that workers' comp is an injured employee's only remedy against the employer, barring most lawsuits.</t>
  </si>
  <si>
    <t xml:space="preserve">An injured worker can't sue the employer for negligence.</t>
  </si>
  <si>
    <t xml:space="preserve">expense-load</t>
  </si>
  <si>
    <t xml:space="preserve">Expense Load</t>
  </si>
  <si>
    <t xml:space="preserve">Loading</t>
  </si>
  <si>
    <t xml:space="preserve">The amount added to the pure premium to cover expenses, taxes and profit.</t>
  </si>
  <si>
    <t xml:space="preserve">A $300 pure premium with a 30% expense load.</t>
  </si>
  <si>
    <t xml:space="preserve">pure-premium, loss-cost</t>
  </si>
  <si>
    <t xml:space="preserve">expense-ratio</t>
  </si>
  <si>
    <t xml:space="preserve">Expense Ratio</t>
  </si>
  <si>
    <t xml:space="preserve">Underwriting expenses (commissions, salaries, overhead) divided by premium.</t>
  </si>
  <si>
    <t xml:space="preserve">$30M expenses on $100M premium is 30%.</t>
  </si>
  <si>
    <t xml:space="preserve">loss-ratio, combined-ratio, acquisition-costs</t>
  </si>
  <si>
    <t xml:space="preserve">experience-modification-factor</t>
  </si>
  <si>
    <t xml:space="preserve">Experience Modification Factor</t>
  </si>
  <si>
    <t xml:space="preserve">Mod; EMR; X-Mod</t>
  </si>
  <si>
    <t xml:space="preserve">A number that raises or lowers a workers' compensation premium based on the employer's claims history; 1.00 is average.</t>
  </si>
  <si>
    <t xml:space="preserve">A mod of 0.85 gives a 15% discount.</t>
  </si>
  <si>
    <t xml:space="preserve">experience-rating, ncci</t>
  </si>
  <si>
    <t xml:space="preserve">Calculated by NCCI in most states and by independent bureaus in states like California, New York and Pennsylvania.</t>
  </si>
  <si>
    <t xml:space="preserve">experience-rating</t>
  </si>
  <si>
    <t xml:space="preserve">Experience Rating</t>
  </si>
  <si>
    <t xml:space="preserve">Health, Casualty/Liability, Commercial</t>
  </si>
  <si>
    <t xml:space="preserve">Adjusting premium based on the insured's own past loss experience compared with the average.</t>
  </si>
  <si>
    <t xml:space="preserve">A company with fewer claims than average gets a lower workers' comp premium.</t>
  </si>
  <si>
    <t xml:space="preserve">experience-modification-factor, retrospective-rating</t>
  </si>
  <si>
    <t xml:space="preserve">expiration-date</t>
  </si>
  <si>
    <t xml:space="preserve">Expiration Date</t>
  </si>
  <si>
    <t xml:space="preserve">Expiry Date</t>
  </si>
  <si>
    <t xml:space="preserve">The date and time coverage ends unless renewed.</t>
  </si>
  <si>
    <t xml:space="preserve">Your policy expires on March 1 next year.</t>
  </si>
  <si>
    <t xml:space="preserve">policy-period, renewal, lapse</t>
  </si>
  <si>
    <t xml:space="preserve">explanation-of-benefits</t>
  </si>
  <si>
    <t xml:space="preserve">Explanation of Benefits</t>
  </si>
  <si>
    <t xml:space="preserve">EOB</t>
  </si>
  <si>
    <t xml:space="preserve">A statement from the health insurer showing what a provider billed, what the plan paid and what you owe. It is not a bill.</t>
  </si>
  <si>
    <t xml:space="preserve">An EOB shows $800 billed, $500 allowed, $400 paid, you owe $100.</t>
  </si>
  <si>
    <t xml:space="preserve">allowed-amount, claim-adjudication</t>
  </si>
  <si>
    <t xml:space="preserve">exposure</t>
  </si>
  <si>
    <t xml:space="preserve">Exposure</t>
  </si>
  <si>
    <t xml:space="preserve">Exposure Unit</t>
  </si>
  <si>
    <t xml:space="preserve">The thing or measure the insurer uses to gauge how much risk it is taking on, such as number of cars, payroll or square footage.</t>
  </si>
  <si>
    <t xml:space="preserve">A workers' comp premium is based on payroll per $100 as the exposure.</t>
  </si>
  <si>
    <t xml:space="preserve">rate, rating-basis, premium</t>
  </si>
  <si>
    <t xml:space="preserve">exposure-management</t>
  </si>
  <si>
    <t xml:space="preserve">Exposure Management</t>
  </si>
  <si>
    <t xml:space="preserve">Property, Commercial, Reinsurance</t>
  </si>
  <si>
    <t xml:space="preserve">Tracking and analyzing where insured values are concentrated to manage catastrophe risk.</t>
  </si>
  <si>
    <t xml:space="preserve">Mapping all insured homes within 1 mile of the coast.</t>
  </si>
  <si>
    <t xml:space="preserve">aggregation, catastrophe-model</t>
  </si>
  <si>
    <t xml:space="preserve">extended-period-of-indemnity</t>
  </si>
  <si>
    <t xml:space="preserve">Extended Period of Indemnity</t>
  </si>
  <si>
    <t xml:space="preserve">Extends business income coverage after repairs are done while revenue recovers.</t>
  </si>
  <si>
    <t xml:space="preserve">90 extra days while customers return.</t>
  </si>
  <si>
    <t xml:space="preserve">period-of-restoration</t>
  </si>
  <si>
    <t xml:space="preserve">extended-replacement-cost</t>
  </si>
  <si>
    <t xml:space="preserve">Extended Replacement Cost</t>
  </si>
  <si>
    <t xml:space="preserve">Pays above your dwelling limit, often 25%–50% more, if rebuild costs are higher than expected.</t>
  </si>
  <si>
    <t xml:space="preserve">A $400,000 limit with 25% extended pays up to $500,000.</t>
  </si>
  <si>
    <t xml:space="preserve">guaranteed-replacement-cost, replacement-cost</t>
  </si>
  <si>
    <t xml:space="preserve">extended-reporting-period</t>
  </si>
  <si>
    <t xml:space="preserve">Extended Reporting Period</t>
  </si>
  <si>
    <t xml:space="preserve">ERP; Tail Coverage</t>
  </si>
  <si>
    <t xml:space="preserve">Extra time after a claims-made policy ends to report claims for incidents that happened while it was active.</t>
  </si>
  <si>
    <t xml:space="preserve">A retiring doctor buys a tail so later malpractice suits are covered.</t>
  </si>
  <si>
    <t xml:space="preserve">tail-coverage, claims-made-policy, nose-coverage</t>
  </si>
  <si>
    <t xml:space="preserve">extended-term-insurance</t>
  </si>
  <si>
    <t xml:space="preserve">Extended Term Insurance</t>
  </si>
  <si>
    <t xml:space="preserve">ETI</t>
  </si>
  <si>
    <t xml:space="preserve">A nonforfeiture option that uses cash value to buy term insurance for the full face amount for as long as it lasts.</t>
  </si>
  <si>
    <t xml:space="preserve">Cash value buys 12 years of term cover.</t>
  </si>
  <si>
    <t xml:space="preserve">nonforfeiture-options</t>
  </si>
  <si>
    <t xml:space="preserve">extended-warranty</t>
  </si>
  <si>
    <t xml:space="preserve">Extended Warranty</t>
  </si>
  <si>
    <t xml:space="preserve">Service Contract; Vehicle Service Contract</t>
  </si>
  <si>
    <t xml:space="preserve">A contract to repair or replace a product after the manufacturer's warranty ends; often not legally insurance.</t>
  </si>
  <si>
    <t xml:space="preserve">A 3-year plan on a new laptop.</t>
  </si>
  <si>
    <t xml:space="preserve">warranty</t>
  </si>
  <si>
    <t xml:space="preserve">Regulated under state service contract laws, not always insurance law.</t>
  </si>
  <si>
    <t xml:space="preserve">external-review</t>
  </si>
  <si>
    <t xml:space="preserve">External Review</t>
  </si>
  <si>
    <t xml:space="preserve">Independent Review</t>
  </si>
  <si>
    <t xml:space="preserve">Review of a denied health claim by an independent organization, after internal appeals, whose decision the plan must follow.</t>
  </si>
  <si>
    <t xml:space="preserve">An independent reviewer overturns a denied cancer treatment.</t>
  </si>
  <si>
    <t xml:space="preserve">Guaranteed by the ACA; run by states or the federal process.</t>
  </si>
  <si>
    <t xml:space="preserve">extra-expense</t>
  </si>
  <si>
    <t xml:space="preserve">Extra Expense</t>
  </si>
  <si>
    <t xml:space="preserve">Extra costs to keep operating or reduce downtime after covered damage.</t>
  </si>
  <si>
    <t xml:space="preserve">Renting a temporary office after a fire.</t>
  </si>
  <si>
    <t xml:space="preserve">extra-contractual-obligations</t>
  </si>
  <si>
    <t xml:space="preserve">Extra-Contractual Obligations</t>
  </si>
  <si>
    <t xml:space="preserve">ECO</t>
  </si>
  <si>
    <t xml:space="preserve">Amounts an insurer must pay beyond the policy's terms, often because of bad faith findings.</t>
  </si>
  <si>
    <t xml:space="preserve">A court awards $2M against an insurer for mishandling a claim.</t>
  </si>
  <si>
    <t xml:space="preserve">Financial statements, Reinsurance contract</t>
  </si>
  <si>
    <t xml:space="preserve">bad-faith, excess-of-policy-limits</t>
  </si>
  <si>
    <t xml:space="preserve">face-amount</t>
  </si>
  <si>
    <t xml:space="preserve">Face Amount</t>
  </si>
  <si>
    <t xml:space="preserve">Face Value; Specified Amount</t>
  </si>
  <si>
    <t xml:space="preserve">The amount of death benefit stated on the policy.</t>
  </si>
  <si>
    <t xml:space="preserve">A policy with a face amount of $1,000,000.</t>
  </si>
  <si>
    <t xml:space="preserve">facultative-reinsurance</t>
  </si>
  <si>
    <t xml:space="preserve">Facultative Reinsurance</t>
  </si>
  <si>
    <t xml:space="preserve">Fac</t>
  </si>
  <si>
    <t xml:space="preserve">Reinsurance arranged for a single, specific policy, negotiated individually.</t>
  </si>
  <si>
    <t xml:space="preserve">A large skyscraper is reinsured on a facultative basis.</t>
  </si>
  <si>
    <t xml:space="preserve">treaty-reinsurance</t>
  </si>
  <si>
    <t xml:space="preserve">Fair Credit Reporting Act</t>
  </si>
  <si>
    <t xml:space="preserve">FCRA</t>
  </si>
  <si>
    <t xml:space="preserve">A federal law governing consumer reports like credit, CLUE and MIB, including notice when they cause adverse action.</t>
  </si>
  <si>
    <t xml:space="preserve">You get an adverse action notice after a credit-based higher premium.</t>
  </si>
  <si>
    <t xml:space="preserve">adverse-action-notice, credit-based-insurance-score, clue-report</t>
  </si>
  <si>
    <t xml:space="preserve">fair-market-value</t>
  </si>
  <si>
    <t xml:space="preserve">Fair Market Value</t>
  </si>
  <si>
    <t xml:space="preserve">FMV</t>
  </si>
  <si>
    <t xml:space="preserve">The price a willing buyer would pay a willing seller for property.</t>
  </si>
  <si>
    <t xml:space="preserve">The FMV of your used car is its typical sale price in your area.</t>
  </si>
  <si>
    <t xml:space="preserve">actual-cash-value, total-loss</t>
  </si>
  <si>
    <t xml:space="preserve">fair-plan</t>
  </si>
  <si>
    <t xml:space="preserve">FAIR Plan</t>
  </si>
  <si>
    <t xml:space="preserve">Fair Access to Insurance Requirements Plan</t>
  </si>
  <si>
    <t xml:space="preserve">A state-mandated pool that provides basic property insurance to owners who can't get it in the regular market.</t>
  </si>
  <si>
    <t xml:space="preserve">A California homeowner in a wildfire zone buys from the California FAIR Plan.</t>
  </si>
  <si>
    <t xml:space="preserve">residual-market, citizens-property-insurance</t>
  </si>
  <si>
    <t xml:space="preserve">Exists in about 30 states and D.C.</t>
  </si>
  <si>
    <t xml:space="preserve">fair-rental-value</t>
  </si>
  <si>
    <t xml:space="preserve">Fair Rental Value</t>
  </si>
  <si>
    <t xml:space="preserve">Coverage for rent you lose when a part of your home you rent out becomes uninhabitable after a covered loss.</t>
  </si>
  <si>
    <t xml:space="preserve">You lose $1,000/month from a basement apartment after a fire.</t>
  </si>
  <si>
    <t xml:space="preserve">loss-of-use, additional-living-expense</t>
  </si>
  <si>
    <t xml:space="preserve">farmowners-policy</t>
  </si>
  <si>
    <t xml:space="preserve">Farmowners Policy</t>
  </si>
  <si>
    <t xml:space="preserve">Farm and Ranch Policy</t>
  </si>
  <si>
    <t xml:space="preserve">A package policy covering a farm's home, buildings, equipment and liability.</t>
  </si>
  <si>
    <t xml:space="preserve">A farmowners policy covers the barn, tractor and farmhouse.</t>
  </si>
  <si>
    <t xml:space="preserve">homeowners-insurance</t>
  </si>
  <si>
    <t xml:space="preserve">fdic-insurance</t>
  </si>
  <si>
    <t xml:space="preserve">FDIC Insurance</t>
  </si>
  <si>
    <t xml:space="preserve">Financial Lines, Social/Government</t>
  </si>
  <si>
    <t xml:space="preserve">Federal insurance protecting bank deposits up to $250,000 per depositor, per bank, per ownership category.</t>
  </si>
  <si>
    <t xml:space="preserve">Your savings are protected when a bank fails.</t>
  </si>
  <si>
    <t xml:space="preserve">federal-crop-insurance-corporation</t>
  </si>
  <si>
    <t xml:space="preserve">Federal Crop Insurance Corporation</t>
  </si>
  <si>
    <t xml:space="preserve">FCIC</t>
  </si>
  <si>
    <t xml:space="preserve">Agriculture, Social/Government</t>
  </si>
  <si>
    <t xml:space="preserve">The government corporation that finances and reinsures the federal crop insurance program, managed by RMA.</t>
  </si>
  <si>
    <t xml:space="preserve">FCIC reinsures private crop insurers under the Standard Reinsurance Agreement.</t>
  </si>
  <si>
    <t xml:space="preserve">rma, standard-reinsurance-agreement</t>
  </si>
  <si>
    <t xml:space="preserve">fee-for-service</t>
  </si>
  <si>
    <t xml:space="preserve">Fee-for-Service</t>
  </si>
  <si>
    <t xml:space="preserve">FFS</t>
  </si>
  <si>
    <t xml:space="preserve">A payment model where providers are paid for each service they perform.</t>
  </si>
  <si>
    <t xml:space="preserve">A doctor bills for each visit and test.</t>
  </si>
  <si>
    <t xml:space="preserve">capitation, value-based-care</t>
  </si>
  <si>
    <t xml:space="preserve">fema</t>
  </si>
  <si>
    <t xml:space="preserve">FEMA</t>
  </si>
  <si>
    <t xml:space="preserve">Federal Emergency Management Agency</t>
  </si>
  <si>
    <t xml:space="preserve">The federal agency that responds to disasters and runs the NFIP.</t>
  </si>
  <si>
    <t xml:space="preserve">FEMA provides disaster grants after a hurricane.</t>
  </si>
  <si>
    <t xml:space="preserve">national-flood-insurance-program</t>
  </si>
  <si>
    <t xml:space="preserve">fidelity-bond</t>
  </si>
  <si>
    <t xml:space="preserve">Fidelity Bond</t>
  </si>
  <si>
    <t xml:space="preserve">ERISA Bond</t>
  </si>
  <si>
    <t xml:space="preserve">Coverage protecting against losses from dishonest acts of employees; ERISA requires one for people handling plan funds.</t>
  </si>
  <si>
    <t xml:space="preserve">A 401(k) plan's ERISA bond.</t>
  </si>
  <si>
    <t xml:space="preserve">crime-insurance, erisa</t>
  </si>
  <si>
    <t xml:space="preserve">fiduciary-liability</t>
  </si>
  <si>
    <t xml:space="preserve">Fiduciary Liability</t>
  </si>
  <si>
    <t xml:space="preserve">Covers people who manage employee benefit plans against claims of mismanagement.</t>
  </si>
  <si>
    <t xml:space="preserve">Employees sue over high 401(k) fees.</t>
  </si>
  <si>
    <t xml:space="preserve">erisa, fidelity-bond</t>
  </si>
  <si>
    <t xml:space="preserve">field-adjuster</t>
  </si>
  <si>
    <t xml:space="preserve">Field Adjuster</t>
  </si>
  <si>
    <t xml:space="preserve">Outside Adjuster</t>
  </si>
  <si>
    <t xml:space="preserve">An adjuster who visits the loss location to inspect damage.</t>
  </si>
  <si>
    <t xml:space="preserve">A field adjuster measures fire damage at your house.</t>
  </si>
  <si>
    <t xml:space="preserve">desk-adjuster, claims-adjuster</t>
  </si>
  <si>
    <t xml:space="preserve">file-and-use</t>
  </si>
  <si>
    <t xml:space="preserve">File and Use</t>
  </si>
  <si>
    <t xml:space="preserve">Rates can be used after being filed, without waiting for approval, though the regulator can later reject them.</t>
  </si>
  <si>
    <t xml:space="preserve">An insurer files new rates and uses them 30 days later.</t>
  </si>
  <si>
    <t xml:space="preserve">prior-approval, use-and-file, rate-filing</t>
  </si>
  <si>
    <t xml:space="preserve">final-expense-insurance</t>
  </si>
  <si>
    <t xml:space="preserve">Final Expense Insurance</t>
  </si>
  <si>
    <t xml:space="preserve">Burial Insurance</t>
  </si>
  <si>
    <t xml:space="preserve">Small whole life policies, often $5,000–$25,000, meant to pay funeral costs.</t>
  </si>
  <si>
    <t xml:space="preserve">A 70-year-old buys $10,000 to cover funeral costs.</t>
  </si>
  <si>
    <t xml:space="preserve">whole-life-insurance, graded-death-benefit</t>
  </si>
  <si>
    <t xml:space="preserve">financial-examination</t>
  </si>
  <si>
    <t xml:space="preserve">Financial Examination</t>
  </si>
  <si>
    <t xml:space="preserve">A periodic regulatory audit of an insurer's financial condition, usually every 3–5 years.</t>
  </si>
  <si>
    <t xml:space="preserve">The domiciliary state examines an insurer's reserves.</t>
  </si>
  <si>
    <t xml:space="preserve">market-conduct-examination, solvency</t>
  </si>
  <si>
    <t xml:space="preserve">financial-responsibility-law</t>
  </si>
  <si>
    <t xml:space="preserve">Financial Responsibility Law</t>
  </si>
  <si>
    <t xml:space="preserve">State laws requiring drivers to prove they can pay for damage they cause, usually by carrying auto insurance.</t>
  </si>
  <si>
    <t xml:space="preserve">Driving without insurance can suspend your license.</t>
  </si>
  <si>
    <t xml:space="preserve">sr-22, compulsory-insurance</t>
  </si>
  <si>
    <t xml:space="preserve">Financial Strength Rating</t>
  </si>
  <si>
    <t xml:space="preserve">FSR; AM Best Rating</t>
  </si>
  <si>
    <t xml:space="preserve">An independent opinion on an insurer's ability to pay claims, from agencies like AM Best, S&amp;P and Moody's.</t>
  </si>
  <si>
    <t xml:space="preserve">A lender requires an insurer rated A- or better by AM Best.</t>
  </si>
  <si>
    <t xml:space="preserve">am-best, solvency</t>
  </si>
  <si>
    <t xml:space="preserve">fine-art-insurance</t>
  </si>
  <si>
    <t xml:space="preserve">Fine Art Insurance</t>
  </si>
  <si>
    <t xml:space="preserve">Fine Arts Floater</t>
  </si>
  <si>
    <t xml:space="preserve">Covers art and collectibles, usually on an agreed value basis.</t>
  </si>
  <si>
    <t xml:space="preserve">A painting damaged in transit to a gallery.</t>
  </si>
  <si>
    <t xml:space="preserve">inland-marine-insurance, agreed-value</t>
  </si>
  <si>
    <t xml:space="preserve">finite-risk-insurance</t>
  </si>
  <si>
    <t xml:space="preserve">Finite Risk Insurance</t>
  </si>
  <si>
    <t xml:space="preserve">A multi-year insurance contract that transfers limited risk and focuses on spreading loss costs over time.</t>
  </si>
  <si>
    <t xml:space="preserve">A company's losses are funded over five years with limited risk transfer.</t>
  </si>
  <si>
    <t xml:space="preserve">alternative-risk-transfer, risk-transfer-testing</t>
  </si>
  <si>
    <t xml:space="preserve">first-notice-of-loss</t>
  </si>
  <si>
    <t xml:space="preserve">First Notice of Loss</t>
  </si>
  <si>
    <t xml:space="preserve">FNOL</t>
  </si>
  <si>
    <t xml:space="preserve">The first report to the insurer that a loss has happened, which starts the claim process.</t>
  </si>
  <si>
    <t xml:space="preserve">You report a car accident through the insurer's app.</t>
  </si>
  <si>
    <t xml:space="preserve">notice-of-loss, claim, claims-management-system</t>
  </si>
  <si>
    <t xml:space="preserve">first-party-coverage</t>
  </si>
  <si>
    <t xml:space="preserve">First-Party Coverage</t>
  </si>
  <si>
    <t xml:space="preserve">Insurance that pays you directly for your own losses.</t>
  </si>
  <si>
    <t xml:space="preserve">Collision coverage on your car pays to repair your own car.</t>
  </si>
  <si>
    <t xml:space="preserve">third-party-coverage, collision-coverage</t>
  </si>
  <si>
    <t xml:space="preserve">fixed-annuity</t>
  </si>
  <si>
    <t xml:space="preserve">Fixed Annuity</t>
  </si>
  <si>
    <t xml:space="preserve">MYGA (Multi-Year Guaranteed Annuity)</t>
  </si>
  <si>
    <t xml:space="preserve">An annuity that credits a guaranteed interest rate.</t>
  </si>
  <si>
    <t xml:space="preserve">A 5-year fixed annuity paying 5%.</t>
  </si>
  <si>
    <t xml:space="preserve">annuity, fixed-indexed-annuity</t>
  </si>
  <si>
    <t xml:space="preserve">fixed-indexed-annuity</t>
  </si>
  <si>
    <t xml:space="preserve">Fixed Indexed Annuity</t>
  </si>
  <si>
    <t xml:space="preserve">FIA; Indexed Annuity</t>
  </si>
  <si>
    <t xml:space="preserve">An annuity whose interest is linked to a market index with a floor protecting against losses.</t>
  </si>
  <si>
    <t xml:space="preserve">Interest linked to S&amp;P 500 with a 9% cap and 0% floor.</t>
  </si>
  <si>
    <t xml:space="preserve">cap-rate, participation-rate, floor-rate, fixed-annuity</t>
  </si>
  <si>
    <t xml:space="preserve">Regulated as insurance under state law, not as a security.</t>
  </si>
  <si>
    <t xml:space="preserve">flat-cancellation</t>
  </si>
  <si>
    <t xml:space="preserve">Flat Cancellation</t>
  </si>
  <si>
    <t xml:space="preserve">Cancelling a policy as of its start date so that no premium is charged.</t>
  </si>
  <si>
    <t xml:space="preserve">A policy bound in error is flat cancelled.</t>
  </si>
  <si>
    <t xml:space="preserve">cancellation, rescission</t>
  </si>
  <si>
    <t xml:space="preserve">flat-extra</t>
  </si>
  <si>
    <t xml:space="preserve">Flat Extra</t>
  </si>
  <si>
    <t xml:space="preserve">An extra premium per $1,000 of coverage charged for a specific risk, like a dangerous hobby.</t>
  </si>
  <si>
    <t xml:space="preserve">A pilot pays an extra $2.50 per $1,000 of coverage.</t>
  </si>
  <si>
    <t xml:space="preserve">table-rating, risk-class</t>
  </si>
  <si>
    <t xml:space="preserve">flexible-spending-account</t>
  </si>
  <si>
    <t xml:space="preserve">Flexible Spending Account</t>
  </si>
  <si>
    <t xml:space="preserve">FSA</t>
  </si>
  <si>
    <t xml:space="preserve">An employer account where you set aside pre-tax money for medical costs; unused money is usually lost at year-end.</t>
  </si>
  <si>
    <t xml:space="preserve">You put $1,500 in an FSA for glasses and copays.</t>
  </si>
  <si>
    <t xml:space="preserve">health-savings-account, health-reimbursement-arrangement</t>
  </si>
  <si>
    <t xml:space="preserve">float</t>
  </si>
  <si>
    <t xml:space="preserve">Float</t>
  </si>
  <si>
    <t xml:space="preserve">Money an insurer holds between collecting premiums and paying claims, which it can invest.</t>
  </si>
  <si>
    <t xml:space="preserve">Long-tail liability lines generate large float.</t>
  </si>
  <si>
    <t xml:space="preserve">investment-income</t>
  </si>
  <si>
    <t xml:space="preserve">flood-exclusion</t>
  </si>
  <si>
    <t xml:space="preserve">Flood Exclusion</t>
  </si>
  <si>
    <t xml:space="preserve">Water Exclusion</t>
  </si>
  <si>
    <t xml:space="preserve">Excludes damage from flooding, surface water, waves and similar water.</t>
  </si>
  <si>
    <t xml:space="preserve">River overflow damaging your basement is not covered by standard home insurance.</t>
  </si>
  <si>
    <t xml:space="preserve">exclusion, flood-insurance</t>
  </si>
  <si>
    <t xml:space="preserve">flood-insurance</t>
  </si>
  <si>
    <t xml:space="preserve">Flood Insurance</t>
  </si>
  <si>
    <t xml:space="preserve">Insurance covering damage from flooding, which standard home policies exclude.</t>
  </si>
  <si>
    <t xml:space="preserve">NFIP coverage pays to repair a flooded ground floor.</t>
  </si>
  <si>
    <t xml:space="preserve">national-flood-insurance-program, flood-zone, flood-exclusion</t>
  </si>
  <si>
    <t xml:space="preserve">Flood Zone</t>
  </si>
  <si>
    <t xml:space="preserve">Special Flood Hazard Area; SFHA</t>
  </si>
  <si>
    <t xml:space="preserve">An area mapped by FEMA by flood risk; high-risk zones start with A or V.</t>
  </si>
  <si>
    <t xml:space="preserve">A home in Zone AE must carry flood insurance if it has a federally backed mortgage.</t>
  </si>
  <si>
    <t xml:space="preserve">flood-insurance, elevation-certificate</t>
  </si>
  <si>
    <t xml:space="preserve">floor-rate</t>
  </si>
  <si>
    <t xml:space="preserve">Floor</t>
  </si>
  <si>
    <t xml:space="preserve">Floor Rate</t>
  </si>
  <si>
    <t xml:space="preserve">The minimum interest credited to an indexed product, often 0%, so you don't lose money when the index falls.</t>
  </si>
  <si>
    <t xml:space="preserve">The index falls 20%; you're credited 0%.</t>
  </si>
  <si>
    <t xml:space="preserve">cap-rate, participation-rate</t>
  </si>
  <si>
    <t xml:space="preserve">florida-hurricane-catastrophe-fund</t>
  </si>
  <si>
    <t xml:space="preserve">Florida Hurricane Catastrophe Fund</t>
  </si>
  <si>
    <t xml:space="preserve">FHCF; Cat Fund</t>
  </si>
  <si>
    <t xml:space="preserve">Property, Social/Government, Reinsurance</t>
  </si>
  <si>
    <t xml:space="preserve">A state-run fund providing reinsurance to Florida residential property insurers for hurricane losses.</t>
  </si>
  <si>
    <t xml:space="preserve">Florida insurers must buy FHCF coverage.</t>
  </si>
  <si>
    <t xml:space="preserve">catastrophe-excess-of-loss, citizens-property-insurance</t>
  </si>
  <si>
    <t xml:space="preserve">follow-form</t>
  </si>
  <si>
    <t xml:space="preserve">Follow Form</t>
  </si>
  <si>
    <t xml:space="preserve">Following Form</t>
  </si>
  <si>
    <t xml:space="preserve">Casualty/Liability, Financial Lines</t>
  </si>
  <si>
    <t xml:space="preserve">An excess policy that adopts the same terms and conditions as the policy underneath it.</t>
  </si>
  <si>
    <t xml:space="preserve">A follow-form excess D&amp;O policy covers what the primary covers.</t>
  </si>
  <si>
    <t xml:space="preserve">excess-insurance, umbrella-insurance</t>
  </si>
  <si>
    <t xml:space="preserve">follow-the-fortunes</t>
  </si>
  <si>
    <t xml:space="preserve">Follow the Fortunes</t>
  </si>
  <si>
    <t xml:space="preserve">Follow the Settlements</t>
  </si>
  <si>
    <t xml:space="preserve">A principle that the reinsurer must accept the ceding insurer's good-faith claim decisions.</t>
  </si>
  <si>
    <t xml:space="preserve">The reinsurer pays its share of a claim the cedent settled reasonably.</t>
  </si>
  <si>
    <t xml:space="preserve">reinsurance</t>
  </si>
  <si>
    <t xml:space="preserve">Force Majeure</t>
  </si>
  <si>
    <t xml:space="preserve">Commercial, Specialty, Financial Lines</t>
  </si>
  <si>
    <t xml:space="preserve">A contract clause freeing parties from their obligations when extraordinary events beyond their control occur.</t>
  </si>
  <si>
    <t xml:space="preserve">A concert can't go ahead due to a government lockdown, triggering a force majeure clause.</t>
  </si>
  <si>
    <t xml:space="preserve">act-of-god, event-cancellation-insurance</t>
  </si>
  <si>
    <t xml:space="preserve">Mostly found in commercial contracts; insurance policies rely on their own perils and exclusions.</t>
  </si>
  <si>
    <t xml:space="preserve">form</t>
  </si>
  <si>
    <t xml:space="preserve">Form</t>
  </si>
  <si>
    <t xml:space="preserve">Policy Form</t>
  </si>
  <si>
    <t xml:space="preserve">A standard printed document that makes up part of a policy, identified by a form number.</t>
  </si>
  <si>
    <t xml:space="preserve">The ISO homeowners form HO 00 03.</t>
  </si>
  <si>
    <t xml:space="preserve">Policy document, Declarations page, Policy administration system</t>
  </si>
  <si>
    <t xml:space="preserve">iso, endorsement, forms-schedule</t>
  </si>
  <si>
    <t xml:space="preserve">Most forms must be filed with and approved by state regulators.</t>
  </si>
  <si>
    <t xml:space="preserve">form-a</t>
  </si>
  <si>
    <t xml:space="preserve">Form A</t>
  </si>
  <si>
    <t xml:space="preserve">A filing required for approval before anyone acquires control of a domestic insurer.</t>
  </si>
  <si>
    <t xml:space="preserve">A private equity firm files Form A to buy a life insurer.</t>
  </si>
  <si>
    <t xml:space="preserve">insurance-holding-company</t>
  </si>
  <si>
    <t xml:space="preserve">form-filing</t>
  </si>
  <si>
    <t xml:space="preserve">Form Filing</t>
  </si>
  <si>
    <t xml:space="preserve">Submitting policy forms and endorsements to a state regulator for review.</t>
  </si>
  <si>
    <t xml:space="preserve">A new cyber endorsement filed in 48 states.</t>
  </si>
  <si>
    <t xml:space="preserve">rate-filing, serff, form</t>
  </si>
  <si>
    <t xml:space="preserve">form-number</t>
  </si>
  <si>
    <t xml:space="preserve">Form Number</t>
  </si>
  <si>
    <t xml:space="preserve">Form Edition Date</t>
  </si>
  <si>
    <t xml:space="preserve">The unique identifier and edition date printed on each policy form, e.g., 'HO 00 03 05 11'.</t>
  </si>
  <si>
    <t xml:space="preserve">The edition date tells which version applies.</t>
  </si>
  <si>
    <t xml:space="preserve">form, forms-schedule</t>
  </si>
  <si>
    <t xml:space="preserve">forms-schedule</t>
  </si>
  <si>
    <t xml:space="preserve">Forms Schedule</t>
  </si>
  <si>
    <t xml:space="preserve">Forms List</t>
  </si>
  <si>
    <t xml:space="preserve">A list on the policy of all the form and endorsement numbers that make up the contract.</t>
  </si>
  <si>
    <t xml:space="preserve">The dec page lists 'CG 00 01 04 13; CG 21 47 12 07'.</t>
  </si>
  <si>
    <t xml:space="preserve">form, endorsement</t>
  </si>
  <si>
    <t xml:space="preserve">Formulary</t>
  </si>
  <si>
    <t xml:space="preserve">Drug List</t>
  </si>
  <si>
    <t xml:space="preserve">The list of prescription drugs a health plan covers.</t>
  </si>
  <si>
    <t xml:space="preserve">Your brand-name drug is not on the formulary, but a generic is.</t>
  </si>
  <si>
    <t xml:space="preserve">drug-tier, pharmacy-benefit-manager</t>
  </si>
  <si>
    <t xml:space="preserve">fraternal-benefit-society</t>
  </si>
  <si>
    <t xml:space="preserve">Fraternal Benefit Society</t>
  </si>
  <si>
    <t xml:space="preserve">A nonprofit membership organization that provides life insurance and other benefits to members.</t>
  </si>
  <si>
    <t xml:space="preserve">Knights of Columbus offers life insurance to members.</t>
  </si>
  <si>
    <t xml:space="preserve">mutual-insurance-company</t>
  </si>
  <si>
    <t xml:space="preserve">free-look-period</t>
  </si>
  <si>
    <t xml:space="preserve">Free Look Period</t>
  </si>
  <si>
    <t xml:space="preserve">Cooling-Off Period; Right to Examine</t>
  </si>
  <si>
    <t xml:space="preserve">A short period after receiving a policy when you can cancel it for a full refund.</t>
  </si>
  <si>
    <t xml:space="preserve">You have 10 days to review your new life policy and cancel for a full refund.</t>
  </si>
  <si>
    <t xml:space="preserve">policy-delivery, cancellation</t>
  </si>
  <si>
    <t xml:space="preserve">Length is set by state law, often 10–30 days; longer for replacements and seniors.</t>
  </si>
  <si>
    <t xml:space="preserve">free-withdrawal-provision</t>
  </si>
  <si>
    <t xml:space="preserve">Free Withdrawal Provision</t>
  </si>
  <si>
    <t xml:space="preserve">Penalty-Free Withdrawal</t>
  </si>
  <si>
    <t xml:space="preserve">Lets you withdraw a portion, often 10% a year, from an annuity without surrender charges.</t>
  </si>
  <si>
    <t xml:space="preserve">You take out 10% in year 3 without penalty.</t>
  </si>
  <si>
    <t xml:space="preserve">surrender-charge, annuity</t>
  </si>
  <si>
    <t xml:space="preserve">frequency</t>
  </si>
  <si>
    <t xml:space="preserve">Frequency</t>
  </si>
  <si>
    <t xml:space="preserve">Claim Frequency</t>
  </si>
  <si>
    <t xml:space="preserve">How often losses or claims happen, usually measured per exposure.</t>
  </si>
  <si>
    <t xml:space="preserve">5 claims per 100 cars per year is a frequency of 5%.</t>
  </si>
  <si>
    <t xml:space="preserve">severity, loss-cost, pure-premium</t>
  </si>
  <si>
    <t xml:space="preserve">fronting</t>
  </si>
  <si>
    <t xml:space="preserve">Fronting</t>
  </si>
  <si>
    <t xml:space="preserve">Fronting Carrier</t>
  </si>
  <si>
    <t xml:space="preserve">A licensed insurer issues a policy but passes most or all of the risk to a reinsurer or captive.</t>
  </si>
  <si>
    <t xml:space="preserve">A captive can't issue policies in all states, so a fronting carrier issues them and reinsures to the captive.</t>
  </si>
  <si>
    <t xml:space="preserve">captive-insurance-company, reinsurance, managing-general-agent</t>
  </si>
  <si>
    <t xml:space="preserve">fully-earned-premium</t>
  </si>
  <si>
    <t xml:space="preserve">Fully Earned Premium</t>
  </si>
  <si>
    <t xml:space="preserve">Commercial, Specialty</t>
  </si>
  <si>
    <t xml:space="preserve">A premium, or portion of it, that is not refunded if the policy is cancelled.</t>
  </si>
  <si>
    <t xml:space="preserve">Event cancellation premium is fully earned at inception.</t>
  </si>
  <si>
    <t xml:space="preserve">minimum-premium, earned-premium</t>
  </si>
  <si>
    <t xml:space="preserve">fully-insured-plan</t>
  </si>
  <si>
    <t xml:space="preserve">Fully Insured Plan</t>
  </si>
  <si>
    <t xml:space="preserve">A health plan where the employer pays premiums to an insurer, which takes on the claims risk.</t>
  </si>
  <si>
    <t xml:space="preserve">A small business buys a fully insured group plan.</t>
  </si>
  <si>
    <t xml:space="preserve">self-funded-plan</t>
  </si>
  <si>
    <t xml:space="preserve">Subject to state insurance mandates.</t>
  </si>
  <si>
    <t xml:space="preserve">gaap</t>
  </si>
  <si>
    <t xml:space="preserve">GAAP</t>
  </si>
  <si>
    <t xml:space="preserve">Generally Accepted Accounting Principles</t>
  </si>
  <si>
    <t xml:space="preserve">Standard US accounting rules used for financial reports to investors.</t>
  </si>
  <si>
    <t xml:space="preserve">Public insurers report GAAP earnings to the SEC.</t>
  </si>
  <si>
    <t xml:space="preserve">statutory-accounting-principles, deferred-acquisition-costs</t>
  </si>
  <si>
    <t xml:space="preserve">gap-insurance</t>
  </si>
  <si>
    <t xml:space="preserve">Gap Insurance</t>
  </si>
  <si>
    <t xml:space="preserve">Loan/Lease Payoff</t>
  </si>
  <si>
    <t xml:space="preserve">Pays the difference between your car's actual cash value and what you still owe on the loan or lease after a total loss.</t>
  </si>
  <si>
    <t xml:space="preserve">Your car is worth $20,000 but you owe $24,000; gap pays $4,000.</t>
  </si>
  <si>
    <t xml:space="preserve">total-loss, actual-cash-value</t>
  </si>
  <si>
    <t xml:space="preserve">garage-liability</t>
  </si>
  <si>
    <t xml:space="preserve">Garage Liability</t>
  </si>
  <si>
    <t xml:space="preserve">Garagekeepers</t>
  </si>
  <si>
    <t xml:space="preserve">Coverage for auto businesses such as repair shops and dealers, including customers' cars in their care (garagekeepers).</t>
  </si>
  <si>
    <t xml:space="preserve">A customer's car is damaged in a shop fire.</t>
  </si>
  <si>
    <t xml:space="preserve">garaging-address</t>
  </si>
  <si>
    <t xml:space="preserve">Garaging Address</t>
  </si>
  <si>
    <t xml:space="preserve">Where a vehicle is usually kept overnight, used to set the rating territory.</t>
  </si>
  <si>
    <t xml:space="preserve">Listing a cheaper rural address falsely is misrepresentation.</t>
  </si>
  <si>
    <t xml:space="preserve">territory, misrepresentation</t>
  </si>
  <si>
    <t xml:space="preserve">general-average</t>
  </si>
  <si>
    <t xml:space="preserve">General Average</t>
  </si>
  <si>
    <t xml:space="preserve">A maritime rule where all parties in a sea voyage share losses from a deliberate sacrifice made to save the voyage.</t>
  </si>
  <si>
    <t xml:space="preserve">Cargo is thrown overboard to save the ship; all cargo owners share the loss.</t>
  </si>
  <si>
    <t xml:space="preserve">particular-average, york-antwerp-rules</t>
  </si>
  <si>
    <t xml:space="preserve">general-damages</t>
  </si>
  <si>
    <t xml:space="preserve">General Damages</t>
  </si>
  <si>
    <t xml:space="preserve">Damages for harm that has no exact price, like pain, suffering and loss of enjoyment of life.</t>
  </si>
  <si>
    <t xml:space="preserve">A crash victim receives $30,000 for pain and suffering.</t>
  </si>
  <si>
    <t xml:space="preserve">special-damages, compensatory-damages</t>
  </si>
  <si>
    <t xml:space="preserve">indemnity-agreement</t>
  </si>
  <si>
    <t xml:space="preserve">General Indemnity Agreement</t>
  </si>
  <si>
    <t xml:space="preserve">GIA</t>
  </si>
  <si>
    <t xml:space="preserve">An agreement where a bond principal (and often its owners) promise to repay the surety for any losses.</t>
  </si>
  <si>
    <t xml:space="preserve">A contractor's owners personally sign the GIA.</t>
  </si>
  <si>
    <t xml:space="preserve">general-ledger</t>
  </si>
  <si>
    <t xml:space="preserve">General Ledger</t>
  </si>
  <si>
    <t xml:space="preserve">GL (Accounting)</t>
  </si>
  <si>
    <t xml:space="preserve">The accounting system recording all financial transactions, fed by policy, billing and claims systems.</t>
  </si>
  <si>
    <t xml:space="preserve">Premium and claim payments post to the general ledger.</t>
  </si>
  <si>
    <t xml:space="preserve">billing-system, statutory-accounting-principles</t>
  </si>
  <si>
    <t xml:space="preserve">general-liability-insurance</t>
  </si>
  <si>
    <t xml:space="preserve">General Liability Insurance</t>
  </si>
  <si>
    <t xml:space="preserve">Broad term for insurance covering a business's legal liability for injuries and property damage to others.</t>
  </si>
  <si>
    <t xml:space="preserve">A contractor buys general liability to win jobs.</t>
  </si>
  <si>
    <t xml:space="preserve">generalized-linear-model</t>
  </si>
  <si>
    <t xml:space="preserve">Generalized Linear Model</t>
  </si>
  <si>
    <t xml:space="preserve">GLM</t>
  </si>
  <si>
    <t xml:space="preserve">A statistical technique widely used in insurance pricing to estimate how each rating factor affects losses.</t>
  </si>
  <si>
    <t xml:space="preserve">A GLM shows young drivers have 2.5x the claim frequency.</t>
  </si>
  <si>
    <t xml:space="preserve">predictive-model, rating-factor</t>
  </si>
  <si>
    <t xml:space="preserve">Regulators often review GLMs in rate filings.</t>
  </si>
  <si>
    <t xml:space="preserve">geocoding</t>
  </si>
  <si>
    <t xml:space="preserve">Geocoding</t>
  </si>
  <si>
    <t xml:space="preserve">Converting an address into latitude and longitude for risk and pricing analysis.</t>
  </si>
  <si>
    <t xml:space="preserve">A home is geocoded to measure distance to the coast.</t>
  </si>
  <si>
    <t xml:space="preserve">territory, catastrophe-model</t>
  </si>
  <si>
    <t xml:space="preserve">glass-coverage</t>
  </si>
  <si>
    <t xml:space="preserve">Glass Coverage</t>
  </si>
  <si>
    <t xml:space="preserve">Full Glass</t>
  </si>
  <si>
    <t xml:space="preserve">Coverage for windshield and window damage, sometimes with no deductible.</t>
  </si>
  <si>
    <t xml:space="preserve">A cracked windshield is replaced for free.</t>
  </si>
  <si>
    <t xml:space="preserve">Some states (e.g., Florida, Kentucky, South Carolina) require zero-deductible windshield coverage.</t>
  </si>
  <si>
    <t xml:space="preserve">good-driver-discount</t>
  </si>
  <si>
    <t xml:space="preserve">Good Driver Discount</t>
  </si>
  <si>
    <t xml:space="preserve">Safe Driver Discount</t>
  </si>
  <si>
    <t xml:space="preserve">A discount for drivers with no recent accidents or violations.</t>
  </si>
  <si>
    <t xml:space="preserve">A 20% discount for 5 clean years.</t>
  </si>
  <si>
    <t xml:space="preserve">California law mandates a 20% good driver discount.</t>
  </si>
  <si>
    <t xml:space="preserve">grace-period</t>
  </si>
  <si>
    <t xml:space="preserve">Grace Period</t>
  </si>
  <si>
    <t xml:space="preserve">Extra time after a premium due date during which coverage stays in force before the policy lapses.</t>
  </si>
  <si>
    <t xml:space="preserve">A life policy gives a 31-day grace period.</t>
  </si>
  <si>
    <t xml:space="preserve">lapse, reinstatement, premium</t>
  </si>
  <si>
    <t xml:space="preserve">ACA marketplace enrollees receiving subsidies get a 3-month grace period; life policies typically have 30–31 days by state law.</t>
  </si>
  <si>
    <t xml:space="preserve">graded-death-benefit</t>
  </si>
  <si>
    <t xml:space="preserve">Graded Death Benefit</t>
  </si>
  <si>
    <t xml:space="preserve">A benefit that is limited (often to premiums plus interest) if death from illness occurs in the first two or three years.</t>
  </si>
  <si>
    <t xml:space="preserve">Death in year one returns premiums plus 10%.</t>
  </si>
  <si>
    <t xml:space="preserve">guaranteed-issue, final-expense-insurance</t>
  </si>
  <si>
    <t xml:space="preserve">glba</t>
  </si>
  <si>
    <t xml:space="preserve">Gramm-Leach-Bliley Act</t>
  </si>
  <si>
    <t xml:space="preserve">GLBA</t>
  </si>
  <si>
    <t xml:space="preserve">A 1999 federal law that, among other things, requires financial institutions including insurers to protect customer personal information and give privacy notices.</t>
  </si>
  <si>
    <t xml:space="preserve">An insurer mails an annual privacy notice.</t>
  </si>
  <si>
    <t xml:space="preserve">privacy-notice, data-security-model-law</t>
  </si>
  <si>
    <t xml:space="preserve">States enforce GLBA privacy rules for insurers.</t>
  </si>
  <si>
    <t xml:space="preserve">group-insurance</t>
  </si>
  <si>
    <t xml:space="preserve">Group Insurance</t>
  </si>
  <si>
    <t xml:space="preserve">Insurance covering a group of people, like employees or members, under one contract.</t>
  </si>
  <si>
    <t xml:space="preserve">An employer's group health plan.</t>
  </si>
  <si>
    <t xml:space="preserve">master-policy, certificate-of-coverage, group-life-insurance</t>
  </si>
  <si>
    <t xml:space="preserve">group-life-insurance</t>
  </si>
  <si>
    <t xml:space="preserve">Group Life Insurance</t>
  </si>
  <si>
    <t xml:space="preserve">Life insurance provided to a group, typically employees, under one master policy.</t>
  </si>
  <si>
    <t xml:space="preserve">Your employer provides life cover equal to 1x salary.</t>
  </si>
  <si>
    <t xml:space="preserve">group-insurance, master-policy, certificate-of-coverage</t>
  </si>
  <si>
    <t xml:space="preserve">guaranteed-insurability-rider</t>
  </si>
  <si>
    <t xml:space="preserve">Guaranteed Insurability Rider</t>
  </si>
  <si>
    <t xml:space="preserve">Guaranteed Purchase Option</t>
  </si>
  <si>
    <t xml:space="preserve">A rider allowing you to buy more coverage at set dates or life events without proving good health.</t>
  </si>
  <si>
    <t xml:space="preserve">You add $50,000 after your child is born.</t>
  </si>
  <si>
    <t xml:space="preserve">rider</t>
  </si>
  <si>
    <t xml:space="preserve">guaranteed-issue</t>
  </si>
  <si>
    <t xml:space="preserve">Guaranteed Issue</t>
  </si>
  <si>
    <t xml:space="preserve">Coverage that must be offered regardless of health.</t>
  </si>
  <si>
    <t xml:space="preserve">A guaranteed issue final expense policy with a two-year graded benefit.</t>
  </si>
  <si>
    <t xml:space="preserve">simplified-issue, graded-death-benefit</t>
  </si>
  <si>
    <t xml:space="preserve">The ACA made major medical guaranteed issue; Medigap has guaranteed issue rights in certain situations.</t>
  </si>
  <si>
    <t xml:space="preserve">guaranteed-living-benefit</t>
  </si>
  <si>
    <t xml:space="preserve">Guaranteed Living Benefit</t>
  </si>
  <si>
    <t xml:space="preserve">GLWB; GMWB; GMIB</t>
  </si>
  <si>
    <t xml:space="preserve">An optional annuity rider guaranteeing income or withdrawals regardless of market performance.</t>
  </si>
  <si>
    <t xml:space="preserve">A GLWB guarantees 5% a year for life.</t>
  </si>
  <si>
    <t xml:space="preserve">variable-annuity, rider</t>
  </si>
  <si>
    <t xml:space="preserve">guaranteed-minimum-death-benefit</t>
  </si>
  <si>
    <t xml:space="preserve">Guaranteed Minimum Death Benefit</t>
  </si>
  <si>
    <t xml:space="preserve">GMDB</t>
  </si>
  <si>
    <t xml:space="preserve">An annuity feature guaranteeing heirs at least a minimum amount, like premiums paid, at death.</t>
  </si>
  <si>
    <t xml:space="preserve">Heirs receive $100,000 even though the account fell to $80,000.</t>
  </si>
  <si>
    <t xml:space="preserve">variable-annuity</t>
  </si>
  <si>
    <t xml:space="preserve">guaranteed-replacement-cost</t>
  </si>
  <si>
    <t xml:space="preserve">Guaranteed Replacement Cost</t>
  </si>
  <si>
    <t xml:space="preserve">Pays the full cost to rebuild your home even if it exceeds the policy limit.</t>
  </si>
  <si>
    <t xml:space="preserve">Rebuild costs $600,000 on a $450,000 limit, all paid.</t>
  </si>
  <si>
    <t xml:space="preserve">extended-replacement-cost, replacement-cost</t>
  </si>
  <si>
    <t xml:space="preserve">Few insurers still offer it.</t>
  </si>
  <si>
    <t xml:space="preserve">guaranteed-universal-life</t>
  </si>
  <si>
    <t xml:space="preserve">Guaranteed Universal Life</t>
  </si>
  <si>
    <t xml:space="preserve">GUL; No-Lapse UL</t>
  </si>
  <si>
    <t xml:space="preserve">Universal life focused on a guaranteed death benefit to a certain age with little cash value.</t>
  </si>
  <si>
    <t xml:space="preserve">A GUL guaranteed to age 100.</t>
  </si>
  <si>
    <t xml:space="preserve">universal-life-insurance, no-lapse-guarantee</t>
  </si>
  <si>
    <t xml:space="preserve">guaranty-fund</t>
  </si>
  <si>
    <t xml:space="preserve">Guaranty Fund</t>
  </si>
  <si>
    <t xml:space="preserve">Guaranty Association</t>
  </si>
  <si>
    <t xml:space="preserve">A state fund that pays claims, up to limits, when an admitted insurer becomes insolvent.</t>
  </si>
  <si>
    <t xml:space="preserve">After an insurer fails, the state guaranty association pays your claim up to $300,000.</t>
  </si>
  <si>
    <t xml:space="preserve">admitted-insurer, insolvency, receivership</t>
  </si>
  <si>
    <t xml:space="preserve">Separate associations for life/health and P&amp;C in each state; limits vary.</t>
  </si>
  <si>
    <t xml:space="preserve">guidewire</t>
  </si>
  <si>
    <t xml:space="preserve">Guidewire</t>
  </si>
  <si>
    <t xml:space="preserve">A widely used software platform for P&amp;C insurers (PolicyCenter, BillingCenter, ClaimCenter).</t>
  </si>
  <si>
    <t xml:space="preserve">An insurer migrates to Guidewire Cloud.</t>
  </si>
  <si>
    <t xml:space="preserve">policy-administration-system, core-systems</t>
  </si>
  <si>
    <t xml:space="preserve">hard-fraud</t>
  </si>
  <si>
    <t xml:space="preserve">Hard Fraud</t>
  </si>
  <si>
    <t xml:space="preserve">Planning or inventing a loss on purpose to collect insurance.</t>
  </si>
  <si>
    <t xml:space="preserve">Burning your own house for the payout.</t>
  </si>
  <si>
    <t xml:space="preserve">insurance-fraud, soft-fraud</t>
  </si>
  <si>
    <t xml:space="preserve">hard-market</t>
  </si>
  <si>
    <t xml:space="preserve">Hard Market</t>
  </si>
  <si>
    <t xml:space="preserve">A period when insurance is harder to get, prices rise and terms tighten.</t>
  </si>
  <si>
    <t xml:space="preserve">Commercial property rates rose sharply in the 2020–2023 hard market.</t>
  </si>
  <si>
    <t xml:space="preserve">soft-market, underwriting-cycle, capacity</t>
  </si>
  <si>
    <t xml:space="preserve">hazard</t>
  </si>
  <si>
    <t xml:space="preserve">Hazard</t>
  </si>
  <si>
    <t xml:space="preserve">A condition that makes a loss more likely or more severe.</t>
  </si>
  <si>
    <t xml:space="preserve">Storing oily rags in a garage is a hazard that raises the chance of fire.</t>
  </si>
  <si>
    <t xml:space="preserve">peril, moral-hazard, morale-hazard, physical-hazard</t>
  </si>
  <si>
    <t xml:space="preserve">hcpcs</t>
  </si>
  <si>
    <t xml:space="preserve">HCPCS</t>
  </si>
  <si>
    <t xml:space="preserve">Healthcare Common Procedure Coding System</t>
  </si>
  <si>
    <t xml:space="preserve">A coding system for supplies, equipment, drugs and services, including CPT as Level I.</t>
  </si>
  <si>
    <t xml:space="preserve">A HCPCS code for a wheelchair.</t>
  </si>
  <si>
    <t xml:space="preserve">health-insurance</t>
  </si>
  <si>
    <t xml:space="preserve">Health Insurance</t>
  </si>
  <si>
    <t xml:space="preserve">Medical Insurance; Major Medical</t>
  </si>
  <si>
    <t xml:space="preserve">Insurance that pays for medical care such as doctor visits, hospital stays and prescriptions.</t>
  </si>
  <si>
    <t xml:space="preserve">Your employer plan pays most of a $20,000 surgery.</t>
  </si>
  <si>
    <t xml:space="preserve">deductible, copayment, coinsurance-health, out-of-pocket-maximum</t>
  </si>
  <si>
    <t xml:space="preserve">health-insurance-marketplace</t>
  </si>
  <si>
    <t xml:space="preserve">Health Insurance Marketplace</t>
  </si>
  <si>
    <t xml:space="preserve">Exchange; HealthCare.gov</t>
  </si>
  <si>
    <t xml:space="preserve">The government-run service where individuals and small businesses shop for ACA health plans and apply for subsidies.</t>
  </si>
  <si>
    <t xml:space="preserve">You buy a silver plan on HealthCare.gov.</t>
  </si>
  <si>
    <t xml:space="preserve">affordable-care-act, premium-tax-credit, open-enrollment-period, metal-tiers</t>
  </si>
  <si>
    <t xml:space="preserve">Some states run their own exchanges (e.g., Covered California).</t>
  </si>
  <si>
    <t xml:space="preserve">health-reimbursement-arrangement</t>
  </si>
  <si>
    <t xml:space="preserve">Health Reimbursement Arrangement</t>
  </si>
  <si>
    <t xml:space="preserve">HRA; ICHRA</t>
  </si>
  <si>
    <t xml:space="preserve">An employer-funded account that reimburses employees for medical costs or individual insurance premiums.</t>
  </si>
  <si>
    <t xml:space="preserve">An employer gives $400 a month via ICHRA to buy an individual plan.</t>
  </si>
  <si>
    <t xml:space="preserve">flexible-spending-account, health-savings-account</t>
  </si>
  <si>
    <t xml:space="preserve">health-savings-account</t>
  </si>
  <si>
    <t xml:space="preserve">Health Savings Account</t>
  </si>
  <si>
    <t xml:space="preserve">HSA</t>
  </si>
  <si>
    <t xml:space="preserve">A tax-advantaged savings account for medical costs, available with a high-deductible health plan.</t>
  </si>
  <si>
    <t xml:space="preserve">You put $3,000 pre-tax into an HSA and use it for doctor bills.</t>
  </si>
  <si>
    <t xml:space="preserve">high-deductible-health-plan, flexible-spending-account</t>
  </si>
  <si>
    <t xml:space="preserve">IRS sets yearly contribution limits.</t>
  </si>
  <si>
    <t xml:space="preserve">hierarchical-condition-categories</t>
  </si>
  <si>
    <t xml:space="preserve">Hierarchical Condition Categories</t>
  </si>
  <si>
    <t xml:space="preserve">HCC</t>
  </si>
  <si>
    <t xml:space="preserve">A coding system that groups diagnoses to estimate how costly a patient will be, used for risk adjustment.</t>
  </si>
  <si>
    <t xml:space="preserve">Coding diabetes with complications raises a member's risk score.</t>
  </si>
  <si>
    <t xml:space="preserve">risk-adjustment, icd-10</t>
  </si>
  <si>
    <t xml:space="preserve">high-deductible-health-plan</t>
  </si>
  <si>
    <t xml:space="preserve">High-Deductible Health Plan</t>
  </si>
  <si>
    <t xml:space="preserve">HDHP</t>
  </si>
  <si>
    <t xml:space="preserve">A plan with a higher deductible that meets IRS rules, allowing you to open an HSA.</t>
  </si>
  <si>
    <t xml:space="preserve">A plan with a $3,300 deductible and HSA eligibility.</t>
  </si>
  <si>
    <t xml:space="preserve">health-savings-account, deductible</t>
  </si>
  <si>
    <t xml:space="preserve">hipaa</t>
  </si>
  <si>
    <t xml:space="preserve">HIPAA</t>
  </si>
  <si>
    <t xml:space="preserve">Health Insurance Portability and Accountability Act</t>
  </si>
  <si>
    <t xml:space="preserve">A 1996 federal law that protects the privacy and security of health information and limits certain health plan exclusions.</t>
  </si>
  <si>
    <t xml:space="preserve">A health insurer must encrypt member medical data.</t>
  </si>
  <si>
    <t xml:space="preserve">protected-health-information, business-associate-agreement</t>
  </si>
  <si>
    <t xml:space="preserve">hired-and-non-owned-auto</t>
  </si>
  <si>
    <t xml:space="preserve">Hired and Non-Owned Auto</t>
  </si>
  <si>
    <t xml:space="preserve">HNOA</t>
  </si>
  <si>
    <t xml:space="preserve">Covers a business's liability for rented vehicles and employees' personal cars used for work.</t>
  </si>
  <si>
    <t xml:space="preserve">An employee crashes their own car driving to a client.</t>
  </si>
  <si>
    <t xml:space="preserve">hmo</t>
  </si>
  <si>
    <t xml:space="preserve">HMO</t>
  </si>
  <si>
    <t xml:space="preserve">Health Maintenance Organization</t>
  </si>
  <si>
    <t xml:space="preserve">A health plan that usually covers only in-network care and requires a primary care doctor and referrals for specialists.</t>
  </si>
  <si>
    <t xml:space="preserve">You need a referral from your PCP to see a dermatologist.</t>
  </si>
  <si>
    <t xml:space="preserve">ppo, epo, pos-plan, primary-care-physician, referral-health</t>
  </si>
  <si>
    <t xml:space="preserve">ho-3</t>
  </si>
  <si>
    <t xml:space="preserve">HO-3</t>
  </si>
  <si>
    <t xml:space="preserve">Special Form Homeowners</t>
  </si>
  <si>
    <t xml:space="preserve">The most common US homeowners form: open perils on the house, named perils on belongings.</t>
  </si>
  <si>
    <t xml:space="preserve">Most homeowners buy an HO-3.</t>
  </si>
  <si>
    <t xml:space="preserve">homeowners-insurance, ho-5, open-perils</t>
  </si>
  <si>
    <t xml:space="preserve">Based on ISO form HO 00 03.</t>
  </si>
  <si>
    <t xml:space="preserve">ho-4</t>
  </si>
  <si>
    <t xml:space="preserve">HO-4</t>
  </si>
  <si>
    <t xml:space="preserve">Renters Insurance; Tenant Policy</t>
  </si>
  <si>
    <t xml:space="preserve">Insurance for renters covering belongings, liability and additional living expense, but not the building.</t>
  </si>
  <si>
    <t xml:space="preserve">A renter's $20,000 policy for furniture and electronics.</t>
  </si>
  <si>
    <t xml:space="preserve">homeowners-insurance, personal-property-coverage</t>
  </si>
  <si>
    <t xml:space="preserve">ho-5</t>
  </si>
  <si>
    <t xml:space="preserve">HO-5</t>
  </si>
  <si>
    <t xml:space="preserve">Comprehensive Form Homeowners</t>
  </si>
  <si>
    <t xml:space="preserve">A homeowners form that covers both the house and belongings on an open perils basis.</t>
  </si>
  <si>
    <t xml:space="preserve">A higher-end homeowner buys HO-5.</t>
  </si>
  <si>
    <t xml:space="preserve">ho-3, open-perils</t>
  </si>
  <si>
    <t xml:space="preserve">ho-6</t>
  </si>
  <si>
    <t xml:space="preserve">HO-6</t>
  </si>
  <si>
    <t xml:space="preserve">Condo Insurance; Condominium Unit Owners</t>
  </si>
  <si>
    <t xml:space="preserve">Insurance for condo owners covering their unit's interior, belongings and liability.</t>
  </si>
  <si>
    <t xml:space="preserve">Covers new kitchen cabinets after a fire in your condo unit.</t>
  </si>
  <si>
    <t xml:space="preserve">master-policy-condo, loss-assessment-coverage</t>
  </si>
  <si>
    <t xml:space="preserve">ho-8</t>
  </si>
  <si>
    <t xml:space="preserve">HO-8</t>
  </si>
  <si>
    <t xml:space="preserve">Modified Coverage Form</t>
  </si>
  <si>
    <t xml:space="preserve">A homeowners form for older homes whose market value is below rebuild cost, usually paying repair with common materials or ACV.</t>
  </si>
  <si>
    <t xml:space="preserve">A 1900s house with plaster walls insured under HO-8.</t>
  </si>
  <si>
    <t xml:space="preserve">ho-3, actual-cash-value</t>
  </si>
  <si>
    <t xml:space="preserve">hold-harmless-agreement</t>
  </si>
  <si>
    <t xml:space="preserve">Hold Harmless Agreement</t>
  </si>
  <si>
    <t xml:space="preserve">Indemnity Agreement</t>
  </si>
  <si>
    <t xml:space="preserve">A contract where one party agrees to protect the other from claims or losses.</t>
  </si>
  <si>
    <t xml:space="preserve">A subcontractor agrees to hold the general contractor harmless for injuries on site.</t>
  </si>
  <si>
    <t xml:space="preserve">risk-transfer, contractual-liability, additional-insured</t>
  </si>
  <si>
    <t xml:space="preserve">Many states have anti-indemnity statutes limiting these in construction.</t>
  </si>
  <si>
    <t xml:space="preserve">Homeowners Insurance</t>
  </si>
  <si>
    <t xml:space="preserve">Home Insurance; HO Policy</t>
  </si>
  <si>
    <t xml:space="preserve">A package policy covering your house, belongings and personal liability.</t>
  </si>
  <si>
    <t xml:space="preserve">An HO-3 policy covering a single-family home.</t>
  </si>
  <si>
    <t xml:space="preserve">ho-3, dwelling-coverage, personal-property-coverage, personal-liability-coverage</t>
  </si>
  <si>
    <t xml:space="preserve">hospital-indemnity-insurance</t>
  </si>
  <si>
    <t xml:space="preserve">Hospital Indemnity Insurance</t>
  </si>
  <si>
    <t xml:space="preserve">Insurance that pays a fixed amount per day you're in the hospital, regardless of actual costs.</t>
  </si>
  <si>
    <t xml:space="preserve">$200 per day for a 5-day hospital stay.</t>
  </si>
  <si>
    <t xml:space="preserve">critical-illness-insurance, excepted-benefits</t>
  </si>
  <si>
    <t xml:space="preserve">hours-clause</t>
  </si>
  <si>
    <t xml:space="preserve">Hours Clause</t>
  </si>
  <si>
    <t xml:space="preserve">A clause defining how long a period (e.g., 72 hours) counts as one catastrophe event.</t>
  </si>
  <si>
    <t xml:space="preserve">Wind losses within 72 hours count as one hurricane event.</t>
  </si>
  <si>
    <t xml:space="preserve">catastrophe-excess-of-loss, occurrence</t>
  </si>
  <si>
    <t xml:space="preserve">hull-insurance</t>
  </si>
  <si>
    <t xml:space="preserve">Hull Insurance</t>
  </si>
  <si>
    <t xml:space="preserve">Hull and Machinery; H&amp;M</t>
  </si>
  <si>
    <t xml:space="preserve">Physical damage insurance on a ship or aircraft itself.</t>
  </si>
  <si>
    <t xml:space="preserve">A ship's engine room fire is covered.</t>
  </si>
  <si>
    <t xml:space="preserve">aviation-insurance, ocean-marine-insurance</t>
  </si>
  <si>
    <t xml:space="preserve">hurricane-deductible</t>
  </si>
  <si>
    <t xml:space="preserve">Hurricane Deductible</t>
  </si>
  <si>
    <t xml:space="preserve">Named Storm Deductible</t>
  </si>
  <si>
    <t xml:space="preserve">A special, usually percentage-based, deductible that applies to hurricane damage.</t>
  </si>
  <si>
    <t xml:space="preserve">A 5% hurricane deductible applies when a named storm damages your Florida home.</t>
  </si>
  <si>
    <t xml:space="preserve">percentage-deductible, deductible</t>
  </si>
  <si>
    <t xml:space="preserve">Used in about 19 coastal states and D.C.; each state sets its own trigger rules.</t>
  </si>
  <si>
    <t xml:space="preserve">hybrid-life-ltc</t>
  </si>
  <si>
    <t xml:space="preserve">Hybrid Life/LTC</t>
  </si>
  <si>
    <t xml:space="preserve">Linked Benefit Policy</t>
  </si>
  <si>
    <t xml:space="preserve">A life insurance or annuity product combined with long-term care benefits.</t>
  </si>
  <si>
    <t xml:space="preserve">A single-premium policy that pays LTC or a death benefit.</t>
  </si>
  <si>
    <t xml:space="preserve">long-term-care-insurance, long-term-care-rider</t>
  </si>
  <si>
    <t xml:space="preserve">ibnr</t>
  </si>
  <si>
    <t xml:space="preserve">IBNR</t>
  </si>
  <si>
    <t xml:space="preserve">Incurred But Not Reported</t>
  </si>
  <si>
    <t xml:space="preserve">A reserve for claims that have happened but haven't yet been reported to the insurer.</t>
  </si>
  <si>
    <t xml:space="preserve">A December accident reported in February is part of year-end IBNR.</t>
  </si>
  <si>
    <t xml:space="preserve">loss-reserve, case-reserve-development, bulk-reserve, loss-development</t>
  </si>
  <si>
    <t xml:space="preserve">icd-10</t>
  </si>
  <si>
    <t xml:space="preserve">ICD-10</t>
  </si>
  <si>
    <t xml:space="preserve">International Classification of Diseases, 10th Revision</t>
  </si>
  <si>
    <t xml:space="preserve">The code set used to record diagnoses on health claims.</t>
  </si>
  <si>
    <t xml:space="preserve">E11.9 is the code for type 2 diabetes without complications.</t>
  </si>
  <si>
    <t xml:space="preserve">cpt-code, claim-adjudication</t>
  </si>
  <si>
    <t xml:space="preserve">US uses ICD-10-CM (diagnoses) and ICD-10-PCS (inpatient procedures).</t>
  </si>
  <si>
    <t xml:space="preserve">identity-theft-insurance</t>
  </si>
  <si>
    <t xml:space="preserve">Identity Theft Insurance</t>
  </si>
  <si>
    <t xml:space="preserve">Property, Specialty</t>
  </si>
  <si>
    <t xml:space="preserve">Covers costs of restoring your identity after theft, like legal fees and lost wages.</t>
  </si>
  <si>
    <t xml:space="preserve">Pays costs to fix accounts opened in your name.</t>
  </si>
  <si>
    <t xml:space="preserve">immediate-annuity</t>
  </si>
  <si>
    <t xml:space="preserve">Immediate Annuity</t>
  </si>
  <si>
    <t xml:space="preserve">SPIA; Single Premium Immediate Annuity</t>
  </si>
  <si>
    <t xml:space="preserve">An annuity bought with a lump sum that starts paying income within a year.</t>
  </si>
  <si>
    <t xml:space="preserve">A retiree buys a SPIA for $200,000.</t>
  </si>
  <si>
    <t xml:space="preserve">annuity, deferred-annuity</t>
  </si>
  <si>
    <t xml:space="preserve">in-force</t>
  </si>
  <si>
    <t xml:space="preserve">In Force</t>
  </si>
  <si>
    <t xml:space="preserve">A policy that is currently active and providing coverage.</t>
  </si>
  <si>
    <t xml:space="preserve">Your policy is in force until next March.</t>
  </si>
  <si>
    <t xml:space="preserve">Policy administration system, Declarations page</t>
  </si>
  <si>
    <t xml:space="preserve">policy-status, lapse</t>
  </si>
  <si>
    <t xml:space="preserve">in-network</t>
  </si>
  <si>
    <t xml:space="preserve">In-Network</t>
  </si>
  <si>
    <t xml:space="preserve">Participating Provider; Par</t>
  </si>
  <si>
    <t xml:space="preserve">Doctors, hospitals and other providers that have a contract with your health plan to charge agreed rates.</t>
  </si>
  <si>
    <t xml:space="preserve">An in-network visit costs you a $20 copay.</t>
  </si>
  <si>
    <t xml:space="preserve">Insurance ID card, Explanation of benefits</t>
  </si>
  <si>
    <t xml:space="preserve">out-of-network, provider-network</t>
  </si>
  <si>
    <t xml:space="preserve">incontestability-clause</t>
  </si>
  <si>
    <t xml:space="preserve">Incontestability Clause</t>
  </si>
  <si>
    <t xml:space="preserve">Incontestable Clause</t>
  </si>
  <si>
    <t xml:space="preserve">After a set time (usually two years), the insurer can't cancel or deny a life policy for misstatements on the application, except in some cases like fraud.</t>
  </si>
  <si>
    <t xml:space="preserve">After two years, a small error on your life application can't be used to deny the claim.</t>
  </si>
  <si>
    <t xml:space="preserve">rescission, suicide-clause, contestable-period</t>
  </si>
  <si>
    <t xml:space="preserve">Required by state law for life policies; generally 2 years.</t>
  </si>
  <si>
    <t xml:space="preserve">incoterms</t>
  </si>
  <si>
    <t xml:space="preserve">Incoterms</t>
  </si>
  <si>
    <t xml:space="preserve">International trade terms (like FOB and CIF) that define when risk passes from seller to buyer and who buys insurance.</t>
  </si>
  <si>
    <t xml:space="preserve">Under CIF, the seller must insure the goods.</t>
  </si>
  <si>
    <t xml:space="preserve">incurred-losses</t>
  </si>
  <si>
    <t xml:space="preserve">Incurred Losses</t>
  </si>
  <si>
    <t xml:space="preserve">Losses paid plus change in reserves during a period.</t>
  </si>
  <si>
    <t xml:space="preserve">Paid $40M, reserves up $10M, incurred $50M.</t>
  </si>
  <si>
    <t xml:space="preserve">total-incurred, paid-losses, loss-ratio</t>
  </si>
  <si>
    <t xml:space="preserve">indemnity</t>
  </si>
  <si>
    <t xml:space="preserve">Indemnity</t>
  </si>
  <si>
    <t xml:space="preserve">Principle of Indemnity</t>
  </si>
  <si>
    <t xml:space="preserve">The idea that insurance should put you back in the same financial position you were in before the loss, not make you better off.</t>
  </si>
  <si>
    <t xml:space="preserve">After a $10,000 fire loss you receive $10,000, not $15,000.</t>
  </si>
  <si>
    <t xml:space="preserve">actual-cash-value, replacement-cost, subrogation, contribution</t>
  </si>
  <si>
    <t xml:space="preserve">independent-adjuster</t>
  </si>
  <si>
    <t xml:space="preserve">Independent Adjuster</t>
  </si>
  <si>
    <t xml:space="preserve">IA</t>
  </si>
  <si>
    <t xml:space="preserve">An adjuster hired by an insurer on contract rather than employed by it, often used after catastrophes.</t>
  </si>
  <si>
    <t xml:space="preserve">Hundreds of IAs deploy to Florida after a hurricane.</t>
  </si>
  <si>
    <t xml:space="preserve">claims-adjuster, catastrophe-adjuster</t>
  </si>
  <si>
    <t xml:space="preserve">independent-agent</t>
  </si>
  <si>
    <t xml:space="preserve">Independent Agent</t>
  </si>
  <si>
    <t xml:space="preserve">An agent who represents several insurers and can shop for the best fit.</t>
  </si>
  <si>
    <t xml:space="preserve">An independent agent compares quotes from six carriers.</t>
  </si>
  <si>
    <t xml:space="preserve">captive-agent, insurance-agent, broker</t>
  </si>
  <si>
    <t xml:space="preserve">index-insurance</t>
  </si>
  <si>
    <t xml:space="preserve">Index Insurance</t>
  </si>
  <si>
    <t xml:space="preserve">Index-Based Insurance</t>
  </si>
  <si>
    <t xml:space="preserve">Agriculture, Alternative Risk Transfer</t>
  </si>
  <si>
    <t xml:space="preserve">Insurance that pays based on an index like area yield or rainfall rather than an individual's loss.</t>
  </si>
  <si>
    <t xml:space="preserve">A rancher gets paid when the pasture rainfall index falls below normal.</t>
  </si>
  <si>
    <t xml:space="preserve">parametric-trigger, pasture-rangeland-forage</t>
  </si>
  <si>
    <t xml:space="preserve">indexed-universal-life</t>
  </si>
  <si>
    <t xml:space="preserve">Indexed Universal Life</t>
  </si>
  <si>
    <t xml:space="preserve">IUL</t>
  </si>
  <si>
    <t xml:space="preserve">Universal life where cash value interest is linked to a stock market index, with a floor and cap.</t>
  </si>
  <si>
    <t xml:space="preserve">Credited interest follows the S&amp;P 500 up to a 10% cap, with a 0% floor.</t>
  </si>
  <si>
    <t xml:space="preserve">universal-life-insurance, cap-rate, participation-rate, floor-rate</t>
  </si>
  <si>
    <t xml:space="preserve">NAIC Actuarial Guideline 49-A limits illustrated rates.</t>
  </si>
  <si>
    <t xml:space="preserve">indication</t>
  </si>
  <si>
    <t xml:space="preserve">Indication</t>
  </si>
  <si>
    <t xml:space="preserve">Ballpark Quote</t>
  </si>
  <si>
    <t xml:space="preserve">A rough, non-binding price estimate given before full underwriting.</t>
  </si>
  <si>
    <t xml:space="preserve">A broker gets an indication of about $40,000 for a D&amp;O policy.</t>
  </si>
  <si>
    <t xml:space="preserve">quote, submission</t>
  </si>
  <si>
    <t xml:space="preserve">individual-mandate</t>
  </si>
  <si>
    <t xml:space="preserve">Individual Mandate</t>
  </si>
  <si>
    <t xml:space="preserve">An ACA rule requiring most people to have health coverage; the federal penalty was reduced to $0 from 2019.</t>
  </si>
  <si>
    <t xml:space="preserve">No federal tax penalty for being uninsured since 2019.</t>
  </si>
  <si>
    <t xml:space="preserve">affordable-care-act, adverse-selection</t>
  </si>
  <si>
    <t xml:space="preserve">California, Massachusetts, New Jersey, Rhode Island and D.C. have their own mandates with penalties.</t>
  </si>
  <si>
    <t xml:space="preserve">industry-loss-warranty</t>
  </si>
  <si>
    <t xml:space="preserve">Industry Loss Warranty</t>
  </si>
  <si>
    <t xml:space="preserve">ILW</t>
  </si>
  <si>
    <t xml:space="preserve">A reinsurance contract that pays when total industry losses from an event exceed a set amount.</t>
  </si>
  <si>
    <t xml:space="preserve">Pays if a US hurricane causes industry losses over $30B.</t>
  </si>
  <si>
    <t xml:space="preserve">catastrophe-bond, pcs-catastrophe</t>
  </si>
  <si>
    <t xml:space="preserve">inherent-vice</t>
  </si>
  <si>
    <t xml:space="preserve">Inherent Vice</t>
  </si>
  <si>
    <t xml:space="preserve">Property, Marine/Aviation/Transit, Specialty</t>
  </si>
  <si>
    <t xml:space="preserve">Damage caused by a natural quality of the item itself, not an outside event. It is usually excluded.</t>
  </si>
  <si>
    <t xml:space="preserve">Fruit rotting in transit because of its own ripening is inherent vice.</t>
  </si>
  <si>
    <t xml:space="preserve">exclusion, wear-and-tear</t>
  </si>
  <si>
    <t xml:space="preserve">Inland Marine Insurance</t>
  </si>
  <si>
    <t xml:space="preserve">Property, Commercial, Marine/Aviation/Transit</t>
  </si>
  <si>
    <t xml:space="preserve">Covers property that moves or is in transit over land, or unusual property like equipment, bridges and fine art.</t>
  </si>
  <si>
    <t xml:space="preserve">A contractor's tools and equipment covered at job sites.</t>
  </si>
  <si>
    <t xml:space="preserve">contractors-equipment, builders-risk, scheduled-personal-property</t>
  </si>
  <si>
    <t xml:space="preserve">NAIC's Nationwide Marine Definition sets what qualifies.</t>
  </si>
  <si>
    <t xml:space="preserve">innocent-co-insured</t>
  </si>
  <si>
    <t xml:space="preserve">Innocent Co-Insured</t>
  </si>
  <si>
    <t xml:space="preserve">An insured who didn't take part in a wrongful act, such as arson by a spouse, and may still recover.</t>
  </si>
  <si>
    <t xml:space="preserve">A wife whose husband set fire to their home may still be paid for her share.</t>
  </si>
  <si>
    <t xml:space="preserve">severability-of-interests</t>
  </si>
  <si>
    <t xml:space="preserve">Many states protect innocent co-insureds by statute, especially in domestic violence cases.</t>
  </si>
  <si>
    <t xml:space="preserve">insolvency</t>
  </si>
  <si>
    <t xml:space="preserve">Insolvency</t>
  </si>
  <si>
    <t xml:space="preserve">When an insurer cannot pay its debts, including claims.</t>
  </si>
  <si>
    <t xml:space="preserve">A Florida homeowners insurer becomes insolvent after hurricanes.</t>
  </si>
  <si>
    <t xml:space="preserve">guaranty-fund, receivership, risk-based-capital</t>
  </si>
  <si>
    <t xml:space="preserve">inspection</t>
  </si>
  <si>
    <t xml:space="preserve">Inspection</t>
  </si>
  <si>
    <t xml:space="preserve">Risk Survey; Loss Control Survey</t>
  </si>
  <si>
    <t xml:space="preserve">A visit to evaluate a property or operation for hazards before or after issuing coverage.</t>
  </si>
  <si>
    <t xml:space="preserve">An inspector photographs a home's roof for underwriting.</t>
  </si>
  <si>
    <t xml:space="preserve">loss-control, underwriting</t>
  </si>
  <si>
    <t xml:space="preserve">installation-floater</t>
  </si>
  <si>
    <t xml:space="preserve">Installation Floater</t>
  </si>
  <si>
    <t xml:space="preserve">Covers materials and equipment being installed until the job is accepted.</t>
  </si>
  <si>
    <t xml:space="preserve">HVAC units in transit and during install.</t>
  </si>
  <si>
    <t xml:space="preserve">installment-plan</t>
  </si>
  <si>
    <t xml:space="preserve">Installment Plan</t>
  </si>
  <si>
    <t xml:space="preserve">Payment Plan</t>
  </si>
  <si>
    <t xml:space="preserve">Paying the premium in parts, such as monthly or quarterly, sometimes with a fee.</t>
  </si>
  <si>
    <t xml:space="preserve">A $1,200 policy paid in 12 installments of $100 plus $5 fee.</t>
  </si>
  <si>
    <t xml:space="preserve">premium, premium-finance</t>
  </si>
  <si>
    <t xml:space="preserve">institute-cargo-clauses</t>
  </si>
  <si>
    <t xml:space="preserve">Institute Cargo Clauses</t>
  </si>
  <si>
    <t xml:space="preserve">ICC (A), (B), (C)</t>
  </si>
  <si>
    <t xml:space="preserve">Standard London-market cargo wordings: (A) broadest all-risks, (B) and (C) named perils.</t>
  </si>
  <si>
    <t xml:space="preserve">A shipper buys ICC (A) cover.</t>
  </si>
  <si>
    <t xml:space="preserve">Widely used in US cargo placements; American Institute forms also exist.</t>
  </si>
  <si>
    <t xml:space="preserve">insurable-interest</t>
  </si>
  <si>
    <t xml:space="preserve">Insurable Interest</t>
  </si>
  <si>
    <t xml:space="preserve">You can only insure something if you would suffer a financial loss if it were damaged, destroyed or lost.</t>
  </si>
  <si>
    <t xml:space="preserve">You can insure your own house, but not your neighbor's house.</t>
  </si>
  <si>
    <t xml:space="preserve">indemnity, policyholder, beneficiary</t>
  </si>
  <si>
    <t xml:space="preserve">In life insurance, insurable interest must exist when the policy is bought; state laws address stranger-originated life insurance (STOLI).</t>
  </si>
  <si>
    <t xml:space="preserve">insurable-risk</t>
  </si>
  <si>
    <t xml:space="preserve">Insurable Risk</t>
  </si>
  <si>
    <t xml:space="preserve">A risk that insurers are willing and able to cover because losses are accidental, measurable and not catastrophic for everyone at once.</t>
  </si>
  <si>
    <t xml:space="preserve">House fire is insurable; a stock market crash is not.</t>
  </si>
  <si>
    <t xml:space="preserve">pure-risk, law-of-large-numbers, catastrophe</t>
  </si>
  <si>
    <t xml:space="preserve">insurance</t>
  </si>
  <si>
    <t xml:space="preserve">Insurance</t>
  </si>
  <si>
    <t xml:space="preserve">An arrangement where you pay a company a fee so that it covers the cost of certain losses if they happen. Many people pay in, and the money pays for the few who suffer a loss.</t>
  </si>
  <si>
    <t xml:space="preserve">You pay $1,200 a year for home insurance; when a pipe bursts, the insurer pays $8,000 for repairs.</t>
  </si>
  <si>
    <t xml:space="preserve">Policy document, Agent/broker communications</t>
  </si>
  <si>
    <t xml:space="preserve">premium, risk-pooling, insurer, insured</t>
  </si>
  <si>
    <t xml:space="preserve">Insurance is regulated mainly by the states, not the federal government.</t>
  </si>
  <si>
    <t xml:space="preserve">insurance-commissioner</t>
  </si>
  <si>
    <t xml:space="preserve">Insurance Commissioner</t>
  </si>
  <si>
    <t xml:space="preserve">Superintendent; Director of Insurance</t>
  </si>
  <si>
    <t xml:space="preserve">The official who heads a state's insurance regulator.</t>
  </si>
  <si>
    <t xml:space="preserve">The California Insurance Commissioner is elected.</t>
  </si>
  <si>
    <t xml:space="preserve">state-department-of-insurance</t>
  </si>
  <si>
    <t xml:space="preserve">Elected in some states, appointed in most.</t>
  </si>
  <si>
    <t xml:space="preserve">data-security-model-law</t>
  </si>
  <si>
    <t xml:space="preserve">Insurance Data Security Model Law</t>
  </si>
  <si>
    <t xml:space="preserve">An NAIC model law requiring insurers and agents to have information security programs and report cybersecurity events.</t>
  </si>
  <si>
    <t xml:space="preserve">An insurer notifies the regulator of a data breach within 72 hours.</t>
  </si>
  <si>
    <t xml:space="preserve">glba, naic, model-law</t>
  </si>
  <si>
    <t xml:space="preserve">Adopted by roughly half the states; New York has its own cyber rule (23 NYCRR 500).</t>
  </si>
  <si>
    <t xml:space="preserve">data-warehouse</t>
  </si>
  <si>
    <t xml:space="preserve">Insurance Data Warehouse</t>
  </si>
  <si>
    <t xml:space="preserve">A central database that combines policy, claims and billing data for reporting and analytics.</t>
  </si>
  <si>
    <t xml:space="preserve">Actuaries pull loss triangles from the warehouse.</t>
  </si>
  <si>
    <t xml:space="preserve">loss-development-triangle</t>
  </si>
  <si>
    <t xml:space="preserve">insurance-fraud</t>
  </si>
  <si>
    <t xml:space="preserve">Insurance Fraud</t>
  </si>
  <si>
    <t xml:space="preserve">Deliberately lying or deceiving to get insurance money or lower premiums.</t>
  </si>
  <si>
    <t xml:space="preserve">Staging a car crash to claim injuries is insurance fraud.</t>
  </si>
  <si>
    <t xml:space="preserve">special-investigations-unit, moral-hazard, soft-fraud, hard-fraud</t>
  </si>
  <si>
    <t xml:space="preserve">Most states have fraud bureaus and require insurers to report suspected fraud.</t>
  </si>
  <si>
    <t xml:space="preserve">Insurance Holding Company</t>
  </si>
  <si>
    <t xml:space="preserve">A parent company that owns one or more insurers; transactions between affiliates are regulated.</t>
  </si>
  <si>
    <t xml:space="preserve">A holding company owns five P&amp;C insurers in different states.</t>
  </si>
  <si>
    <t xml:space="preserve">insurance-id-card</t>
  </si>
  <si>
    <t xml:space="preserve">Insurance ID Card</t>
  </si>
  <si>
    <t xml:space="preserve">Proof of Insurance</t>
  </si>
  <si>
    <t xml:space="preserve">A card showing proof of coverage, like an auto ID card or health member card.</t>
  </si>
  <si>
    <t xml:space="preserve">You show your auto ID card to police.</t>
  </si>
  <si>
    <t xml:space="preserve">Insurance ID card</t>
  </si>
  <si>
    <t xml:space="preserve">policy-number</t>
  </si>
  <si>
    <t xml:space="preserve">Most states now accept digital auto ID cards.</t>
  </si>
  <si>
    <t xml:space="preserve">Insurance Policy</t>
  </si>
  <si>
    <t xml:space="preserve">Policy; Contract of Insurance</t>
  </si>
  <si>
    <t xml:space="preserve">The written contract that spells out what is covered, what is not, and the duties of both sides.</t>
  </si>
  <si>
    <t xml:space="preserve">Your 40-page homeowners policy document.</t>
  </si>
  <si>
    <t xml:space="preserve">declarations-page, insuring-agreement, exclusion, conditions</t>
  </si>
  <si>
    <t xml:space="preserve">insurance-to-value</t>
  </si>
  <si>
    <t xml:space="preserve">Insurance to Value</t>
  </si>
  <si>
    <t xml:space="preserve">ITV</t>
  </si>
  <si>
    <t xml:space="preserve">How close the insured amount is to the true replacement cost of the property.</t>
  </si>
  <si>
    <t xml:space="preserve">An underwriter checks ITV to make sure the $500,000 limit matches rebuild cost.</t>
  </si>
  <si>
    <t xml:space="preserve">underinsurance, coinsurance-clause, replacement-cost</t>
  </si>
  <si>
    <t xml:space="preserve">Insurance-Linked Securities</t>
  </si>
  <si>
    <t xml:space="preserve">ILS</t>
  </si>
  <si>
    <t xml:space="preserve">Financial instruments whose value depends on insurance losses, like cat bonds and collateralized reinsurance.</t>
  </si>
  <si>
    <t xml:space="preserve">A pension fund invests in ILS for diversification.</t>
  </si>
  <si>
    <t xml:space="preserve">catastrophe-bond, collateralized-reinsurance</t>
  </si>
  <si>
    <t xml:space="preserve">insured</t>
  </si>
  <si>
    <t xml:space="preserve">Insured</t>
  </si>
  <si>
    <t xml:space="preserve">The person or organization protected by the policy.</t>
  </si>
  <si>
    <t xml:space="preserve">On a car policy, you and family members who drive your car are insureds.</t>
  </si>
  <si>
    <t xml:space="preserve">named-insured, additional-insured, policyholder</t>
  </si>
  <si>
    <t xml:space="preserve">insured-life</t>
  </si>
  <si>
    <t xml:space="preserve">Insured (Life)</t>
  </si>
  <si>
    <t xml:space="preserve">Life Insured; Insured Person</t>
  </si>
  <si>
    <t xml:space="preserve">The person whose life is covered; their death triggers the payout. They may differ from the policyowner.</t>
  </si>
  <si>
    <t xml:space="preserve">A company insures the life of its CEO.</t>
  </si>
  <si>
    <t xml:space="preserve">policyholder, beneficiary</t>
  </si>
  <si>
    <t xml:space="preserve">insured-vs-insured-exclusion</t>
  </si>
  <si>
    <t xml:space="preserve">Insured vs. Insured Exclusion</t>
  </si>
  <si>
    <t xml:space="preserve">Excludes claims brought by one insured against another, such as the company suing its own directors.</t>
  </si>
  <si>
    <t xml:space="preserve">The company sues its former CFO; the D&amp;O excludes it.</t>
  </si>
  <si>
    <t xml:space="preserve">directors-and-officers-liability, exclusion</t>
  </si>
  <si>
    <t xml:space="preserve">insurer</t>
  </si>
  <si>
    <t xml:space="preserve">Insurer</t>
  </si>
  <si>
    <t xml:space="preserve">Carrier; Insurance Company; Underwriter</t>
  </si>
  <si>
    <t xml:space="preserve">The company that issues the policy and agrees to pay covered claims.</t>
  </si>
  <si>
    <t xml:space="preserve">State Farm or a small regional mutual is an insurer.</t>
  </si>
  <si>
    <t xml:space="preserve">insured, admitted-insurer, mutual-insurance-company, stock-insurance-company</t>
  </si>
  <si>
    <t xml:space="preserve">insuring-agreement</t>
  </si>
  <si>
    <t xml:space="preserve">Insuring Agreement</t>
  </si>
  <si>
    <t xml:space="preserve">The part of the policy stating what the insurer promises to cover.</t>
  </si>
  <si>
    <t xml:space="preserve">'We will pay those sums the insured becomes legally obligated to pay as damages because of bodily injury...'</t>
  </si>
  <si>
    <t xml:space="preserve">exclusion, conditions, definitions-section</t>
  </si>
  <si>
    <t xml:space="preserve">insurtech</t>
  </si>
  <si>
    <t xml:space="preserve">Insurtech</t>
  </si>
  <si>
    <t xml:space="preserve">Technology-driven companies or innovations in insurance, such as app-based insurers, data tools or digital distribution.</t>
  </si>
  <si>
    <t xml:space="preserve">An app that quotes renters insurance in 90 seconds.</t>
  </si>
  <si>
    <t xml:space="preserve">embedded-insurance, digital-distribution</t>
  </si>
  <si>
    <t xml:space="preserve">intentional-acts-exclusion</t>
  </si>
  <si>
    <t xml:space="preserve">Intentional Acts Exclusion</t>
  </si>
  <si>
    <t xml:space="preserve">Expected or Intended Injury Exclusion</t>
  </si>
  <si>
    <t xml:space="preserve">Excludes injury or damage the insured intended or expected to cause.</t>
  </si>
  <si>
    <t xml:space="preserve">Punching someone is not covered by your homeowners liability.</t>
  </si>
  <si>
    <t xml:space="preserve">inter-company-arbitration</t>
  </si>
  <si>
    <t xml:space="preserve">Inter-Company Arbitration</t>
  </si>
  <si>
    <t xml:space="preserve">Arbitration Forums</t>
  </si>
  <si>
    <t xml:space="preserve">A process where insurers resolve subrogation disputes between themselves without going to court.</t>
  </si>
  <si>
    <t xml:space="preserve">Two auto insurers resolve fault through Arbitration Forums, Inc.</t>
  </si>
  <si>
    <t xml:space="preserve">subrogation, subrogation-demand</t>
  </si>
  <si>
    <t xml:space="preserve">Investment Income</t>
  </si>
  <si>
    <t xml:space="preserve">Money an insurer earns by investing premiums and reserves before claims are paid.</t>
  </si>
  <si>
    <t xml:space="preserve">Interest from bonds held to back reserves.</t>
  </si>
  <si>
    <t xml:space="preserve">float, operating-ratio</t>
  </si>
  <si>
    <t xml:space="preserve">irrevocable-beneficiary</t>
  </si>
  <si>
    <t xml:space="preserve">Irrevocable Beneficiary</t>
  </si>
  <si>
    <t xml:space="preserve">A beneficiary who cannot be changed without their consent.</t>
  </si>
  <si>
    <t xml:space="preserve">A divorce decree requires an ex-spouse to be irrevocable beneficiary.</t>
  </si>
  <si>
    <t xml:space="preserve">ISO</t>
  </si>
  <si>
    <t xml:space="preserve">Insurance Services Office; Verisk ISO</t>
  </si>
  <si>
    <t xml:space="preserve">An advisory organization (part of Verisk) that writes standard policy forms, collects statistics and files loss costs.</t>
  </si>
  <si>
    <t xml:space="preserve">The standard CGL form CG 00 01 is an ISO form.</t>
  </si>
  <si>
    <t xml:space="preserve">Policy document, Regulatory filings</t>
  </si>
  <si>
    <t xml:space="preserve">form, loss-cost, aais</t>
  </si>
  <si>
    <t xml:space="preserve">issuance</t>
  </si>
  <si>
    <t xml:space="preserve">Issuance</t>
  </si>
  <si>
    <t xml:space="preserve">Policy Issuance</t>
  </si>
  <si>
    <t xml:space="preserve">Creating and delivering the formal policy documents after coverage is bound.</t>
  </si>
  <si>
    <t xml:space="preserve">The policy is issued and emailed as a PDF.</t>
  </si>
  <si>
    <t xml:space="preserve">binding, policy-delivery</t>
  </si>
  <si>
    <t xml:space="preserve">Issue Age</t>
  </si>
  <si>
    <t xml:space="preserve">The insured's age when the policy is issued, used to price premiums.</t>
  </si>
  <si>
    <t xml:space="preserve">A policy issued at 35 is priced at issue age 35.</t>
  </si>
  <si>
    <t xml:space="preserve">Application form, Declarations page</t>
  </si>
  <si>
    <t xml:space="preserve">attained-age, backdating</t>
  </si>
  <si>
    <t xml:space="preserve">jewelers-block</t>
  </si>
  <si>
    <t xml:space="preserve">Jewelers Block</t>
  </si>
  <si>
    <t xml:space="preserve">Inland marine coverage for jewelry retailers' and wholesalers' stock.</t>
  </si>
  <si>
    <t xml:space="preserve">A jewelry store robbery.</t>
  </si>
  <si>
    <t xml:space="preserve">joint-life</t>
  </si>
  <si>
    <t xml:space="preserve">Joint Life</t>
  </si>
  <si>
    <t xml:space="preserve">First-to-Die</t>
  </si>
  <si>
    <t xml:space="preserve">A policy covering two people that pays when the first one dies.</t>
  </si>
  <si>
    <t xml:space="preserve">Business partners buy first-to-die coverage.</t>
  </si>
  <si>
    <t xml:space="preserve">survivorship-life</t>
  </si>
  <si>
    <t xml:space="preserve">jones-act</t>
  </si>
  <si>
    <t xml:space="preserve">Jones Act</t>
  </si>
  <si>
    <t xml:space="preserve">Merchant Marine Act of 1920</t>
  </si>
  <si>
    <t xml:space="preserve">A federal law letting injured seamen sue their employers for negligence.</t>
  </si>
  <si>
    <t xml:space="preserve">A deckhand sues the vessel owner after a fall.</t>
  </si>
  <si>
    <t xml:space="preserve">usl-h, protection-and-indemnity</t>
  </si>
  <si>
    <t xml:space="preserve">Key Person Insurance</t>
  </si>
  <si>
    <t xml:space="preserve">Key Man Insurance</t>
  </si>
  <si>
    <t xml:space="preserve">Life or disability insurance a business buys on an important employee, with the business as beneficiary.</t>
  </si>
  <si>
    <t xml:space="preserve">A startup insures its founder for $2M.</t>
  </si>
  <si>
    <t xml:space="preserve">buy-sell-agreement, business-owners-policy</t>
  </si>
  <si>
    <t xml:space="preserve">Employer-owned policies must meet IRS notice and consent rules (Section 101(j)).</t>
  </si>
  <si>
    <t xml:space="preserve">kidnap-and-ransom</t>
  </si>
  <si>
    <t xml:space="preserve">Kidnap and Ransom</t>
  </si>
  <si>
    <t xml:space="preserve">K&amp;R</t>
  </si>
  <si>
    <t xml:space="preserve">Covers ransom payments, crisis consultants and related costs if an insured person is kidnapped.</t>
  </si>
  <si>
    <t xml:space="preserve">An executive traveling abroad is kidnapped.</t>
  </si>
  <si>
    <t xml:space="preserve">know-your-customer</t>
  </si>
  <si>
    <t xml:space="preserve">Know Your Customer</t>
  </si>
  <si>
    <t xml:space="preserve">KYC</t>
  </si>
  <si>
    <t xml:space="preserve">Checks to verify the identity of customers, used to prevent money laundering and fraud.</t>
  </si>
  <si>
    <t xml:space="preserve">An insurer verifies ID before issuing a large annuity.</t>
  </si>
  <si>
    <t xml:space="preserve">anti-money-laundering, ofac</t>
  </si>
  <si>
    <t xml:space="preserve">landlord-insurance</t>
  </si>
  <si>
    <t xml:space="preserve">Landlord Insurance</t>
  </si>
  <si>
    <t xml:space="preserve">Rental Property Insurance</t>
  </si>
  <si>
    <t xml:space="preserve">Insurance for owners who rent out property, covering the building, liability and lost rent.</t>
  </si>
  <si>
    <t xml:space="preserve">A landlord's policy pays lost rent after a fire.</t>
  </si>
  <si>
    <t xml:space="preserve">dwelling-fire-policy, fair-rental-value</t>
  </si>
  <si>
    <t xml:space="preserve">lapse</t>
  </si>
  <si>
    <t xml:space="preserve">Lapse</t>
  </si>
  <si>
    <t xml:space="preserve">When a policy ends because the premium was not paid within the grace period.</t>
  </si>
  <si>
    <t xml:space="preserve">Your life policy lapses after missing payments.</t>
  </si>
  <si>
    <t xml:space="preserve">Policy administration system, Billing statement</t>
  </si>
  <si>
    <t xml:space="preserve">grace-period, reinstatement</t>
  </si>
  <si>
    <t xml:space="preserve">lapse-rate</t>
  </si>
  <si>
    <t xml:space="preserve">Lapse Rate</t>
  </si>
  <si>
    <t xml:space="preserve">The share of policies that stop because premiums are not paid.</t>
  </si>
  <si>
    <t xml:space="preserve">A 5% annual lapse rate on term policies.</t>
  </si>
  <si>
    <t xml:space="preserve">lapse, persistency</t>
  </si>
  <si>
    <t xml:space="preserve">law-of-large-numbers</t>
  </si>
  <si>
    <t xml:space="preserve">Law of Large Numbers</t>
  </si>
  <si>
    <t xml:space="preserve">The larger the group of similar risks, the more accurately an insurer can predict how many losses will occur.</t>
  </si>
  <si>
    <t xml:space="preserve">An insurer covering 100,000 cars can predict accident numbers far better than one covering 100.</t>
  </si>
  <si>
    <t xml:space="preserve">risk-pooling, actuary, credibility</t>
  </si>
  <si>
    <t xml:space="preserve">layer</t>
  </si>
  <si>
    <t xml:space="preserve">Layer</t>
  </si>
  <si>
    <t xml:space="preserve">A slice of coverage between two amounts, often insured by different insurers in a tower.</t>
  </si>
  <si>
    <t xml:space="preserve">One insurer takes the $5M excess of $5M layer.</t>
  </si>
  <si>
    <t xml:space="preserve">Reinsurance contract, Agent/broker communications</t>
  </si>
  <si>
    <t xml:space="preserve">excess-insurance, tower, attachment-point</t>
  </si>
  <si>
    <t xml:space="preserve">lead-generation</t>
  </si>
  <si>
    <t xml:space="preserve">Lead Generation</t>
  </si>
  <si>
    <t xml:space="preserve">Leads</t>
  </si>
  <si>
    <t xml:space="preserve">Collecting information about potential customers and selling or passing it to agents or insurers.</t>
  </si>
  <si>
    <t xml:space="preserve">An agent buys internet leads for Medicare supplement shoppers.</t>
  </si>
  <si>
    <t xml:space="preserve">Telemarketing and TCPA rules affect lead use.</t>
  </si>
  <si>
    <t xml:space="preserve">legacy-system</t>
  </si>
  <si>
    <t xml:space="preserve">Legacy System</t>
  </si>
  <si>
    <t xml:space="preserve">An older system, often mainframe-based, still running critical insurance operations.</t>
  </si>
  <si>
    <t xml:space="preserve">A 1980s COBOL policy system still issues life policies.</t>
  </si>
  <si>
    <t xml:space="preserve">suit-against-us-clause</t>
  </si>
  <si>
    <t xml:space="preserve">Legal Action Against Us</t>
  </si>
  <si>
    <t xml:space="preserve">Suit Limitation Clause</t>
  </si>
  <si>
    <t xml:space="preserve">A condition that limits when and how you can sue the insurer, such as within two years of the loss.</t>
  </si>
  <si>
    <t xml:space="preserve">You must sue within one year after the loss.</t>
  </si>
  <si>
    <t xml:space="preserve">Limits must meet state minimums.</t>
  </si>
  <si>
    <t xml:space="preserve">level-term</t>
  </si>
  <si>
    <t xml:space="preserve">Level Term</t>
  </si>
  <si>
    <t xml:space="preserve">Term life where the premium and death benefit stay the same for the whole term.</t>
  </si>
  <si>
    <t xml:space="preserve">A 30-year level term policy at $40 a month.</t>
  </si>
  <si>
    <t xml:space="preserve">term-life-insurance, annual-renewable-term</t>
  </si>
  <si>
    <t xml:space="preserve">level-funded-plan</t>
  </si>
  <si>
    <t xml:space="preserve">Level-Funded Plan</t>
  </si>
  <si>
    <t xml:space="preserve">A self-funded plan for smaller employers with fixed monthly payments covering expected claims, admin and stop-loss.</t>
  </si>
  <si>
    <t xml:space="preserve">A 40-employee firm pays a steady monthly amount and may get a refund if claims are low.</t>
  </si>
  <si>
    <t xml:space="preserve">self-funded-plan, stop-loss-insurance</t>
  </si>
  <si>
    <t xml:space="preserve">liability</t>
  </si>
  <si>
    <t xml:space="preserve">Liability</t>
  </si>
  <si>
    <t xml:space="preserve">Legal Liability</t>
  </si>
  <si>
    <t xml:space="preserve">Legal responsibility to pay for harm you cause to someone else or their property.</t>
  </si>
  <si>
    <t xml:space="preserve">If your dog bites a visitor, you may have liability for their medical bills.</t>
  </si>
  <si>
    <t xml:space="preserve">negligence, third-party-coverage, general-liability-insurance</t>
  </si>
  <si>
    <t xml:space="preserve">liberalization-clause</t>
  </si>
  <si>
    <t xml:space="preserve">Liberalization Clause</t>
  </si>
  <si>
    <t xml:space="preserve">If the insurer broadens a form without extra charge, the broader coverage automatically applies to your current policy.</t>
  </si>
  <si>
    <t xml:space="preserve">A new edition adds coverage mid-term and it applies to you immediately.</t>
  </si>
  <si>
    <t xml:space="preserve">license-and-permit-bond</t>
  </si>
  <si>
    <t xml:space="preserve">License and Permit Bond</t>
  </si>
  <si>
    <t xml:space="preserve">Commercial Surety Bond</t>
  </si>
  <si>
    <t xml:space="preserve">A bond required by a government to obtain a license, guaranteeing compliance with laws.</t>
  </si>
  <si>
    <t xml:space="preserve">An auto dealer must post a $50,000 bond.</t>
  </si>
  <si>
    <t xml:space="preserve">lienholder</t>
  </si>
  <si>
    <t xml:space="preserve">Lienholder</t>
  </si>
  <si>
    <t xml:space="preserve">Lessor</t>
  </si>
  <si>
    <t xml:space="preserve">A lender or leasing company with a financial interest in the insured property.</t>
  </si>
  <si>
    <t xml:space="preserve">The car finance company is the lienholder.</t>
  </si>
  <si>
    <t xml:space="preserve">loss-payee, mortgagee-clause</t>
  </si>
  <si>
    <t xml:space="preserve">life-insurance</t>
  </si>
  <si>
    <t xml:space="preserve">Life Insurance</t>
  </si>
  <si>
    <t xml:space="preserve">Insurance that pays money to your beneficiaries when you die.</t>
  </si>
  <si>
    <t xml:space="preserve">A $500,000 policy pays your family if you die.</t>
  </si>
  <si>
    <t xml:space="preserve">term-life-insurance, permanent-life-insurance, death-benefit, beneficiary</t>
  </si>
  <si>
    <t xml:space="preserve">life-only-annuity</t>
  </si>
  <si>
    <t xml:space="preserve">Life Only Annuity</t>
  </si>
  <si>
    <t xml:space="preserve">Straight Life Annuity</t>
  </si>
  <si>
    <t xml:space="preserve">Payments continue for the annuitant's life and stop at death, with nothing to heirs.</t>
  </si>
  <si>
    <t xml:space="preserve">Payments stop when the annuitant dies.</t>
  </si>
  <si>
    <t xml:space="preserve">payout-option, period-certain</t>
  </si>
  <si>
    <t xml:space="preserve">life-settlement</t>
  </si>
  <si>
    <t xml:space="preserve">Life Settlement</t>
  </si>
  <si>
    <t xml:space="preserve">Selling a life insurance policy to a third party for more than its cash surrender value but less than its death benefit.</t>
  </si>
  <si>
    <t xml:space="preserve">A 78-year-old sells a $1M policy for $200,000.</t>
  </si>
  <si>
    <t xml:space="preserve">viatical-settlement, stoli</t>
  </si>
  <si>
    <t xml:space="preserve">Regulated by most states; rescission periods apply.</t>
  </si>
  <si>
    <t xml:space="preserve">limit-of-liability</t>
  </si>
  <si>
    <t xml:space="preserve">Limit of Liability</t>
  </si>
  <si>
    <t xml:space="preserve">Limit; Limit of Insurance; Policy Limit</t>
  </si>
  <si>
    <t xml:space="preserve">The most the insurer will pay for a covered loss or during the policy period.</t>
  </si>
  <si>
    <t xml:space="preserve">A liability policy with a $1,000,000 limit will not pay more than $1 million for a lawsuit.</t>
  </si>
  <si>
    <t xml:space="preserve">aggregate-limit, per-occurrence-limit, sublimit, split-limits</t>
  </si>
  <si>
    <t xml:space="preserve">line</t>
  </si>
  <si>
    <t xml:space="preserve">Line</t>
  </si>
  <si>
    <t xml:space="preserve">Line Size</t>
  </si>
  <si>
    <t xml:space="preserve">Property, Marine/Aviation/Transit, Reinsurance</t>
  </si>
  <si>
    <t xml:space="preserve">The amount of a risk an insurer or reinsurer accepts; also a share of a risk taken by a market.</t>
  </si>
  <si>
    <t xml:space="preserve">A syndicate writes a 10% line on a cargo policy.</t>
  </si>
  <si>
    <t xml:space="preserve">surplus-treaty, capacity</t>
  </si>
  <si>
    <t xml:space="preserve">line-of-business</t>
  </si>
  <si>
    <t xml:space="preserve">Line of Business</t>
  </si>
  <si>
    <t xml:space="preserve">LOB; Line of Insurance</t>
  </si>
  <si>
    <t xml:space="preserve">A category of insurance, like personal auto, homeowners or workers' comp, used for products, reporting and regulation.</t>
  </si>
  <si>
    <t xml:space="preserve">Reporting premiums by LOB on the annual statement.</t>
  </si>
  <si>
    <t xml:space="preserve">Financial statements, Policy administration system</t>
  </si>
  <si>
    <t xml:space="preserve">annual-statement, product-model</t>
  </si>
  <si>
    <t xml:space="preserve">NAIC annual statement lines define regulatory LOBs.</t>
  </si>
  <si>
    <t xml:space="preserve">lines-of-authority</t>
  </si>
  <si>
    <t xml:space="preserve">Lines of Authority</t>
  </si>
  <si>
    <t xml:space="preserve">LOA</t>
  </si>
  <si>
    <t xml:space="preserve">The types of insurance a producer's license allows them to sell, such as life, health, property or casualty.</t>
  </si>
  <si>
    <t xml:space="preserve">A producer with P&amp;C lines of authority can't sell life insurance.</t>
  </si>
  <si>
    <t xml:space="preserve">producer-license</t>
  </si>
  <si>
    <t xml:space="preserve">Liquor Liability</t>
  </si>
  <si>
    <t xml:space="preserve">Covers businesses that sell or serve alcohol against claims from intoxicated customers causing harm.</t>
  </si>
  <si>
    <t xml:space="preserve">A bar is sued after a drunk patron crashes.</t>
  </si>
  <si>
    <t xml:space="preserve">litigation</t>
  </si>
  <si>
    <t xml:space="preserve">Litigation</t>
  </si>
  <si>
    <t xml:space="preserve">A claim that has become a lawsuit.</t>
  </si>
  <si>
    <t xml:space="preserve">A slip-and-fall claim goes to litigation.</t>
  </si>
  <si>
    <t xml:space="preserve">defense-costs, duty-to-defend</t>
  </si>
  <si>
    <t xml:space="preserve">litigation-hold</t>
  </si>
  <si>
    <t xml:space="preserve">Litigation Hold</t>
  </si>
  <si>
    <t xml:space="preserve">Legal Hold</t>
  </si>
  <si>
    <t xml:space="preserve">An order to keep all records related to a claim or lawsuit and not delete them.</t>
  </si>
  <si>
    <t xml:space="preserve">The IT team preserves emails for a pending bad faith suit.</t>
  </si>
  <si>
    <t xml:space="preserve">livestock-insurance</t>
  </si>
  <si>
    <t xml:space="preserve">Livestock Insurance</t>
  </si>
  <si>
    <t xml:space="preserve">Livestock Mortality</t>
  </si>
  <si>
    <t xml:space="preserve">Covers death of livestock from accidents, disease or other causes; federal price-risk livestock plans also exist.</t>
  </si>
  <si>
    <t xml:space="preserve">A prize bull dies from lightning.</t>
  </si>
  <si>
    <t xml:space="preserve">lloyds</t>
  </si>
  <si>
    <t xml:space="preserve">Lloyd's</t>
  </si>
  <si>
    <t xml:space="preserve">Lloyd's of London</t>
  </si>
  <si>
    <t xml:space="preserve">Marine/Aviation/Transit, Specialty, Financial Lines, Reinsurance</t>
  </si>
  <si>
    <t xml:space="preserve">A London insurance marketplace where syndicates underwrite risks; it's a major non-admitted market in the US.</t>
  </si>
  <si>
    <t xml:space="preserve">A US film production insurance placed at Lloyd's.</t>
  </si>
  <si>
    <t xml:space="preserve">syndicate, non-admitted-insurer, coverholder</t>
  </si>
  <si>
    <t xml:space="preserve">Lloyd's writes US business mainly as a surplus lines insurer and reinsurer; it's admitted only in Illinois, Kentucky and the US Virgin Islands.</t>
  </si>
  <si>
    <t xml:space="preserve">long-tail</t>
  </si>
  <si>
    <t xml:space="preserve">Long-Tail Line</t>
  </si>
  <si>
    <t xml:space="preserve">A line where claims take many years to be reported and settled, like liability and workers' comp.</t>
  </si>
  <si>
    <t xml:space="preserve">Asbestos claims appeared decades after exposure.</t>
  </si>
  <si>
    <t xml:space="preserve">short-tail, ibnr</t>
  </si>
  <si>
    <t xml:space="preserve">long-term-care-insurance</t>
  </si>
  <si>
    <t xml:space="preserve">Long-Term Care Insurance</t>
  </si>
  <si>
    <t xml:space="preserve">LTC; LTCI</t>
  </si>
  <si>
    <t xml:space="preserve">Insurance that pays for help with daily activities in a nursing home, assisted living or at home.</t>
  </si>
  <si>
    <t xml:space="preserve">Pays $200 a day for a nursing home.</t>
  </si>
  <si>
    <t xml:space="preserve">activities-of-daily-living, elimination-period, long-term-care-rider</t>
  </si>
  <si>
    <t xml:space="preserve">Many states have LTC partnership programs linked to Medicaid asset protection.</t>
  </si>
  <si>
    <t xml:space="preserve">long-term-care-rider</t>
  </si>
  <si>
    <t xml:space="preserve">Long-Term Care Rider</t>
  </si>
  <si>
    <t xml:space="preserve">A rider allowing death benefit to be used for long-term care costs.</t>
  </si>
  <si>
    <t xml:space="preserve">The rider pays $4,000 a month toward assisted living.</t>
  </si>
  <si>
    <t xml:space="preserve">long-term-care-insurance, hybrid-life-ltc</t>
  </si>
  <si>
    <t xml:space="preserve">long-term-disability-insurance</t>
  </si>
  <si>
    <t xml:space="preserve">Long-Term Disability Insurance</t>
  </si>
  <si>
    <t xml:space="preserve">LTD</t>
  </si>
  <si>
    <t xml:space="preserve">Disability insurance that pays for a long period, often to age 65, after a waiting period.</t>
  </si>
  <si>
    <t xml:space="preserve">Pays 60% of salary for years after a disabling stroke.</t>
  </si>
  <si>
    <t xml:space="preserve">disability-insurance, elimination-period, own-occupation</t>
  </si>
  <si>
    <t xml:space="preserve">loss</t>
  </si>
  <si>
    <t xml:space="preserve">Loss</t>
  </si>
  <si>
    <t xml:space="preserve">The reduction in value or financial harm that triggers a claim, such as damage, injury or death.</t>
  </si>
  <si>
    <t xml:space="preserve">A tree falling on your garage is a loss.</t>
  </si>
  <si>
    <t xml:space="preserve">claim, peril, hazard</t>
  </si>
  <si>
    <t xml:space="preserve">loss-adjustment</t>
  </si>
  <si>
    <t xml:space="preserve">Loss Adjustment</t>
  </si>
  <si>
    <t xml:space="preserve">Claims Adjustment</t>
  </si>
  <si>
    <t xml:space="preserve">The process of investigating, evaluating and settling a claim.</t>
  </si>
  <si>
    <t xml:space="preserve">The loss adjustment took three weeks.</t>
  </si>
  <si>
    <t xml:space="preserve">claims-adjuster, loss-adjustment-expense</t>
  </si>
  <si>
    <t xml:space="preserve">loss-adjustment-expense</t>
  </si>
  <si>
    <t xml:space="preserve">Loss Adjustment Expense</t>
  </si>
  <si>
    <t xml:space="preserve">LAE</t>
  </si>
  <si>
    <t xml:space="preserve">The costs of investigating and settling claims, separate from the claim payments themselves.</t>
  </si>
  <si>
    <t xml:space="preserve">Adjuster fees and legal costs are LAE.</t>
  </si>
  <si>
    <t xml:space="preserve">allocated-loss-adjustment-expense, unallocated-loss-adjustment-expense, loss-ratio</t>
  </si>
  <si>
    <t xml:space="preserve">loss-assessment-coverage</t>
  </si>
  <si>
    <t xml:space="preserve">Loss Assessment Coverage</t>
  </si>
  <si>
    <t xml:space="preserve">Pays your share of a special assessment charged by an HOA for a covered loss to common property.</t>
  </si>
  <si>
    <t xml:space="preserve">The HOA charges each owner $3,000 after a lobby fire.</t>
  </si>
  <si>
    <t xml:space="preserve">ho-6, master-policy-condo</t>
  </si>
  <si>
    <t xml:space="preserve">loss-control</t>
  </si>
  <si>
    <t xml:space="preserve">Loss Control</t>
  </si>
  <si>
    <t xml:space="preserve">Risk Engineering; Loss Prevention</t>
  </si>
  <si>
    <t xml:space="preserve">Services and actions to reduce the frequency or severity of losses.</t>
  </si>
  <si>
    <t xml:space="preserve">A loss control engineer recommends machine guards at a factory.</t>
  </si>
  <si>
    <t xml:space="preserve">inspection, risk-management</t>
  </si>
  <si>
    <t xml:space="preserve">loss-cost</t>
  </si>
  <si>
    <t xml:space="preserve">Loss Cost</t>
  </si>
  <si>
    <t xml:space="preserve">Pure Premium</t>
  </si>
  <si>
    <t xml:space="preserve">The part of the premium needed just to pay expected losses, before expenses and profit.</t>
  </si>
  <si>
    <t xml:space="preserve">Expected losses of $300 per car per year is the loss cost.</t>
  </si>
  <si>
    <t xml:space="preserve">Rating engine, Regulatory filings</t>
  </si>
  <si>
    <t xml:space="preserve">pure-premium, rate, expense-load</t>
  </si>
  <si>
    <t xml:space="preserve">In many states, advisory organizations like ISO file loss costs that insurers adjust with their own expenses.</t>
  </si>
  <si>
    <t xml:space="preserve">loss-development</t>
  </si>
  <si>
    <t xml:space="preserve">Loss Development</t>
  </si>
  <si>
    <t xml:space="preserve">The pattern of how total losses for a period grow as more claims are reported and paid.</t>
  </si>
  <si>
    <t xml:space="preserve">Liability losses may take 10 years to fully develop.</t>
  </si>
  <si>
    <t xml:space="preserve">loss-development-triangle, loss-development-factor, reserve-development</t>
  </si>
  <si>
    <t xml:space="preserve">loss-development-factor</t>
  </si>
  <si>
    <t xml:space="preserve">Loss Development Factor</t>
  </si>
  <si>
    <t xml:space="preserve">LDF; Age-to-Age Factor</t>
  </si>
  <si>
    <t xml:space="preserve">A multiplier showing how much losses are expected to grow from one evaluation age to the next or to ultimate.</t>
  </si>
  <si>
    <t xml:space="preserve">A 12-to-24 month LDF of 1.40.</t>
  </si>
  <si>
    <t xml:space="preserve">loss-development-triangle, ultimate-loss</t>
  </si>
  <si>
    <t xml:space="preserve">Loss Development Triangle</t>
  </si>
  <si>
    <t xml:space="preserve">Loss Triangle</t>
  </si>
  <si>
    <t xml:space="preserve">A table showing losses by accident year across successive evaluation dates, used to project final losses.</t>
  </si>
  <si>
    <t xml:space="preserve">Rows are accident years; columns are 12, 24, 36 months.</t>
  </si>
  <si>
    <t xml:space="preserve">loss-development, loss-development-factor, chain-ladder-method</t>
  </si>
  <si>
    <t xml:space="preserve">loss-history</t>
  </si>
  <si>
    <t xml:space="preserve">Loss History</t>
  </si>
  <si>
    <t xml:space="preserve">Claims History</t>
  </si>
  <si>
    <t xml:space="preserve">A record of past claims used to judge the likelihood of future losses.</t>
  </si>
  <si>
    <t xml:space="preserve">Three water claims in five years raise your home premium.</t>
  </si>
  <si>
    <t xml:space="preserve">loss-run, clue-report</t>
  </si>
  <si>
    <t xml:space="preserve">loss-of-use</t>
  </si>
  <si>
    <t xml:space="preserve">Loss of Use</t>
  </si>
  <si>
    <t xml:space="preserve">Additional Living Expense; ALE; Coverage D</t>
  </si>
  <si>
    <t xml:space="preserve">Coverage for extra costs of living elsewhere while your home is being repaired after a covered loss.</t>
  </si>
  <si>
    <t xml:space="preserve">The policy pays for a hotel while your fire-damaged house is fixed.</t>
  </si>
  <si>
    <t xml:space="preserve">additional-living-expense, fair-rental-value</t>
  </si>
  <si>
    <t xml:space="preserve">loss-payee</t>
  </si>
  <si>
    <t xml:space="preserve">Loss Payee</t>
  </si>
  <si>
    <t xml:space="preserve">A party, often a lender, that is paid from the claim along with or instead of the insured.</t>
  </si>
  <si>
    <t xml:space="preserve">The bank financing your car is a loss payee.</t>
  </si>
  <si>
    <t xml:space="preserve">mortgagee-clause, lienholder</t>
  </si>
  <si>
    <t xml:space="preserve">loss-ratio</t>
  </si>
  <si>
    <t xml:space="preserve">Loss Ratio</t>
  </si>
  <si>
    <t xml:space="preserve">Losses (usually including loss adjustment expenses) divided by earned premium.</t>
  </si>
  <si>
    <t xml:space="preserve">$60M losses on $100M earned premium is a 60% loss ratio.</t>
  </si>
  <si>
    <t xml:space="preserve">combined-ratio, expense-ratio, medical-loss-ratio</t>
  </si>
  <si>
    <t xml:space="preserve">loss-ratio-corridor</t>
  </si>
  <si>
    <t xml:space="preserve">Loss Ratio Corridor</t>
  </si>
  <si>
    <t xml:space="preserve">Health, Reinsurance</t>
  </si>
  <si>
    <t xml:space="preserve">A range of loss ratio in which a reinsurer does not pay, so the cedent keeps those losses.</t>
  </si>
  <si>
    <t xml:space="preserve">Losses between 70% and 80% loss ratio stay with the cedent.</t>
  </si>
  <si>
    <t xml:space="preserve">quota-share, aggregate-excess-of-loss</t>
  </si>
  <si>
    <t xml:space="preserve">loss-reserve</t>
  </si>
  <si>
    <t xml:space="preserve">Loss Reserve</t>
  </si>
  <si>
    <t xml:space="preserve">Money set aside for claims that have happened but aren't paid yet, including unreported ones.</t>
  </si>
  <si>
    <t xml:space="preserve">An insurer holds $500M in loss reserves.</t>
  </si>
  <si>
    <t xml:space="preserve">claim-reserve, ibnr, reserves</t>
  </si>
  <si>
    <t xml:space="preserve">loss-run</t>
  </si>
  <si>
    <t xml:space="preserve">Loss Run</t>
  </si>
  <si>
    <t xml:space="preserve">Loss History Report</t>
  </si>
  <si>
    <t xml:space="preserve">Property, Casualty/Liability, Motor, Commercial, Financial Lines</t>
  </si>
  <si>
    <t xml:space="preserve">A report from an insurer listing the claims a policyholder has had over a period.</t>
  </si>
  <si>
    <t xml:space="preserve">A business gives five years of loss runs to a new insurer.</t>
  </si>
  <si>
    <t xml:space="preserve">loss-history, submission, experience-rating</t>
  </si>
  <si>
    <t xml:space="preserve">Several states require insurers to provide loss runs within a set time of request.</t>
  </si>
  <si>
    <t xml:space="preserve">loss-trend</t>
  </si>
  <si>
    <t xml:space="preserve">Loss Trend</t>
  </si>
  <si>
    <t xml:space="preserve">Trend</t>
  </si>
  <si>
    <t xml:space="preserve">The expected rate at which claim costs grow over time due to inflation and other factors.</t>
  </si>
  <si>
    <t xml:space="preserve">A 6% annual severity trend for auto liability.</t>
  </si>
  <si>
    <t xml:space="preserve">social-inflation, severity</t>
  </si>
  <si>
    <t xml:space="preserve">loss-sensitive-program</t>
  </si>
  <si>
    <t xml:space="preserve">Loss-Sensitive Program</t>
  </si>
  <si>
    <t xml:space="preserve">Any insurance plan where the cost depends on the insured's own losses, such as retro plans or large deductibles.</t>
  </si>
  <si>
    <t xml:space="preserve">A large-deductible workers' comp program for a trucking company.</t>
  </si>
  <si>
    <t xml:space="preserve">retrospective-rating, self-insured-retention</t>
  </si>
  <si>
    <t xml:space="preserve">management-liability</t>
  </si>
  <si>
    <t xml:space="preserve">Management Liability</t>
  </si>
  <si>
    <t xml:space="preserve">A package of D&amp;O, EPLI, fiduciary and crime coverages for private companies or nonprofits.</t>
  </si>
  <si>
    <t xml:space="preserve">A nonprofit buys a management liability package.</t>
  </si>
  <si>
    <t xml:space="preserve">directors-and-officers-liability, employment-practices-liability</t>
  </si>
  <si>
    <t xml:space="preserve">managing-general-agent</t>
  </si>
  <si>
    <t xml:space="preserve">Managing General Agent</t>
  </si>
  <si>
    <t xml:space="preserve">MGA</t>
  </si>
  <si>
    <t xml:space="preserve">A firm given authority by insurers to underwrite, bind, issue policies and sometimes handle claims on their behalf.</t>
  </si>
  <si>
    <t xml:space="preserve">An MGA writes pet insurance backed by a large carrier.</t>
  </si>
  <si>
    <t xml:space="preserve">binding-authority, program-business, fronting</t>
  </si>
  <si>
    <t xml:space="preserve">MGAs are regulated under state MGA laws based on an NAIC model act.</t>
  </si>
  <si>
    <t xml:space="preserve">managing-general-underwriter</t>
  </si>
  <si>
    <t xml:space="preserve">Managing General Underwriter</t>
  </si>
  <si>
    <t xml:space="preserve">MGU</t>
  </si>
  <si>
    <t xml:space="preserve">A term similar to MGA, stressing underwriting authority delegated by insurers.</t>
  </si>
  <si>
    <t xml:space="preserve">An MGU specializes in cyber risks for small firms.</t>
  </si>
  <si>
    <t xml:space="preserve">market-conduct-examination</t>
  </si>
  <si>
    <t xml:space="preserve">Market Conduct Examination</t>
  </si>
  <si>
    <t xml:space="preserve">Market Conduct Exam</t>
  </si>
  <si>
    <t xml:space="preserve">A regulatory review of how an insurer treats customers in sales, underwriting, claims and complaints.</t>
  </si>
  <si>
    <t xml:space="preserve">A state exam finds late claim payments and fines the insurer.</t>
  </si>
  <si>
    <t xml:space="preserve">financial-examination, unfair-claims-settlement-practices</t>
  </si>
  <si>
    <t xml:space="preserve">market-value-adjustment</t>
  </si>
  <si>
    <t xml:space="preserve">Market Value Adjustment</t>
  </si>
  <si>
    <t xml:space="preserve">MVA</t>
  </si>
  <si>
    <t xml:space="preserve">An adjustment to an annuity's surrender value based on interest rate changes since purchase.</t>
  </si>
  <si>
    <t xml:space="preserve">Rates rose, so the MVA lowers your surrender value.</t>
  </si>
  <si>
    <t xml:space="preserve">surrender-charge, fixed-annuity</t>
  </si>
  <si>
    <t xml:space="preserve">mass-tort</t>
  </si>
  <si>
    <t xml:space="preserve">Mass Tort</t>
  </si>
  <si>
    <t xml:space="preserve">Lawsuits by many people harmed by the same product or action.</t>
  </si>
  <si>
    <t xml:space="preserve">Thousands sue over a harmful chemical.</t>
  </si>
  <si>
    <t xml:space="preserve">tort, product-liability-insurance</t>
  </si>
  <si>
    <t xml:space="preserve">master-policy</t>
  </si>
  <si>
    <t xml:space="preserve">Master Policy</t>
  </si>
  <si>
    <t xml:space="preserve">Group Policy</t>
  </si>
  <si>
    <t xml:space="preserve">The single contract issued to an employer or organization for group insurance.</t>
  </si>
  <si>
    <t xml:space="preserve">The employer holds the master policy; employees get certificates.</t>
  </si>
  <si>
    <t xml:space="preserve">group-insurance, certificate-of-coverage</t>
  </si>
  <si>
    <t xml:space="preserve">material-fact</t>
  </si>
  <si>
    <t xml:space="preserve">Material Fact</t>
  </si>
  <si>
    <t xml:space="preserve">A fact that would affect whether an insurer accepts a risk or what premium it charges.</t>
  </si>
  <si>
    <t xml:space="preserve">Having had two DUIs is a material fact for auto insurance.</t>
  </si>
  <si>
    <t xml:space="preserve">misrepresentation, concealment, utmost-good-faith</t>
  </si>
  <si>
    <t xml:space="preserve">maturity-date</t>
  </si>
  <si>
    <t xml:space="preserve">Maturity Date</t>
  </si>
  <si>
    <t xml:space="preserve">The date a policy or annuity ends and pays its value, if the insured is alive.</t>
  </si>
  <si>
    <t xml:space="preserve">A policy matures at age 121.</t>
  </si>
  <si>
    <t xml:space="preserve">maximum-foreseeable-loss</t>
  </si>
  <si>
    <t xml:space="preserve">Maximum Foreseeable Loss</t>
  </si>
  <si>
    <t xml:space="preserve">MFL</t>
  </si>
  <si>
    <t xml:space="preserve">The largest loss that could happen at a location if all protection systems failed.</t>
  </si>
  <si>
    <t xml:space="preserve">The MFL assumes the sprinklers fail and the whole warehouse burns.</t>
  </si>
  <si>
    <t xml:space="preserve">probable-maximum-loss</t>
  </si>
  <si>
    <t xml:space="preserve">mccarran-ferguson-act</t>
  </si>
  <si>
    <t xml:space="preserve">McCarran-Ferguson Act</t>
  </si>
  <si>
    <t xml:space="preserve">A 1945 federal law leaving insurance regulation mainly to the states and giving insurers limited antitrust exemption.</t>
  </si>
  <si>
    <t xml:space="preserve">Why each state regulates its own insurance market.</t>
  </si>
  <si>
    <t xml:space="preserve">state-department-of-insurance, naic</t>
  </si>
  <si>
    <t xml:space="preserve">mcs-90</t>
  </si>
  <si>
    <t xml:space="preserve">MCS-90</t>
  </si>
  <si>
    <t xml:space="preserve">A federally required endorsement guaranteeing a trucking company's liability limits are available to the public.</t>
  </si>
  <si>
    <t xml:space="preserve">The insurer pays a victim under MCS-90 even if the policy wouldn't otherwise apply.</t>
  </si>
  <si>
    <t xml:space="preserve">motor-carrier</t>
  </si>
  <si>
    <t xml:space="preserve">media-liability</t>
  </si>
  <si>
    <t xml:space="preserve">Media Liability</t>
  </si>
  <si>
    <t xml:space="preserve">Covers claims of defamation, copyright infringement and invasion of privacy from published content.</t>
  </si>
  <si>
    <t xml:space="preserve">A publisher is sued for libel.</t>
  </si>
  <si>
    <t xml:space="preserve">personal-and-advertising-injury</t>
  </si>
  <si>
    <t xml:space="preserve">Medicaid</t>
  </si>
  <si>
    <t xml:space="preserve">A joint federal-state program providing health coverage to people with low income and some other groups.</t>
  </si>
  <si>
    <t xml:space="preserve">A low-income family gets free coverage through Medicaid.</t>
  </si>
  <si>
    <t xml:space="preserve">chip, dual-eligible, medicaid-managed-care</t>
  </si>
  <si>
    <t xml:space="preserve">Eligibility and benefits vary by state; not all states expanded Medicaid under the ACA.</t>
  </si>
  <si>
    <t xml:space="preserve">medicaid-managed-care</t>
  </si>
  <si>
    <t xml:space="preserve">Medicaid Managed Care</t>
  </si>
  <si>
    <t xml:space="preserve">MCO</t>
  </si>
  <si>
    <t xml:space="preserve">Medicaid benefits delivered through private health plans that contract with the state.</t>
  </si>
  <si>
    <t xml:space="preserve">A state pays an MCO a monthly amount per member.</t>
  </si>
  <si>
    <t xml:space="preserve">medicaid, capitation</t>
  </si>
  <si>
    <t xml:space="preserve">medical-loss-ratio</t>
  </si>
  <si>
    <t xml:space="preserve">Medical Loss Ratio</t>
  </si>
  <si>
    <t xml:space="preserve">MLR</t>
  </si>
  <si>
    <t xml:space="preserve">The share of health premiums spent on medical care and quality improvement.</t>
  </si>
  <si>
    <t xml:space="preserve">A plan spends 82 cents of each premium dollar on care.</t>
  </si>
  <si>
    <t xml:space="preserve">loss-ratio, affordable-care-act</t>
  </si>
  <si>
    <t xml:space="preserve">The ACA requires 80% MLR for individual and small group, 85% for large group, or rebates are paid.</t>
  </si>
  <si>
    <t xml:space="preserve">medical-malpractice-insurance</t>
  </si>
  <si>
    <t xml:space="preserve">Medical Malpractice Insurance</t>
  </si>
  <si>
    <t xml:space="preserve">Med Mal; Medical Professional Liability</t>
  </si>
  <si>
    <t xml:space="preserve">Professional liability for doctors, nurses and health facilities against claims of patient injury from treatment.</t>
  </si>
  <si>
    <t xml:space="preserve">A surgeon is sued for a surgical error.</t>
  </si>
  <si>
    <t xml:space="preserve">professional-liability-insurance, claims-made-policy, tail-coverage</t>
  </si>
  <si>
    <t xml:space="preserve">Some states cap non-economic damages in malpractice cases; some have patient compensation funds.</t>
  </si>
  <si>
    <t xml:space="preserve">medical-necessity</t>
  </si>
  <si>
    <t xml:space="preserve">Medical Necessity</t>
  </si>
  <si>
    <t xml:space="preserve">Medically Necessary</t>
  </si>
  <si>
    <t xml:space="preserve">Health care services needed to diagnose or treat an illness under accepted medical standards; plans usually only cover these.</t>
  </si>
  <si>
    <t xml:space="preserve">Cosmetic surgery is usually not medically necessary.</t>
  </si>
  <si>
    <t xml:space="preserve">Policy document, Explanation of benefits</t>
  </si>
  <si>
    <t xml:space="preserve">prior-authorization, utilization-review</t>
  </si>
  <si>
    <t xml:space="preserve">medical-payments-coverage</t>
  </si>
  <si>
    <t xml:space="preserve">Medical Payments Coverage</t>
  </si>
  <si>
    <t xml:space="preserve">MedPay</t>
  </si>
  <si>
    <t xml:space="preserve">Pays medical bills for you and passengers after an accident, regardless of fault, usually in smaller amounts than PIP.</t>
  </si>
  <si>
    <t xml:space="preserve">$5,000 MedPay covers an ER visit.</t>
  </si>
  <si>
    <t xml:space="preserve">personal-injury-protection</t>
  </si>
  <si>
    <t xml:space="preserve">medical-payments-to-others</t>
  </si>
  <si>
    <t xml:space="preserve">Medical Payments to Others</t>
  </si>
  <si>
    <t xml:space="preserve">Coverage F; Med Pay</t>
  </si>
  <si>
    <t xml:space="preserve">Property, Casualty/Liability</t>
  </si>
  <si>
    <t xml:space="preserve">Pays small medical bills for guests injured on your property, regardless of fault.</t>
  </si>
  <si>
    <t xml:space="preserve">A neighbor's child falls off your swing; $1,500 medical is paid.</t>
  </si>
  <si>
    <t xml:space="preserve">personal-liability-coverage, medical-payments-coverage</t>
  </si>
  <si>
    <t xml:space="preserve">medical-underwriting</t>
  </si>
  <si>
    <t xml:space="preserve">Medical Underwriting</t>
  </si>
  <si>
    <t xml:space="preserve">Assessing a person's health to decide whether and at what price to offer life or health coverage.</t>
  </si>
  <si>
    <t xml:space="preserve">An applicant with diabetes is rated up.</t>
  </si>
  <si>
    <t xml:space="preserve">underwriting, risk-class, paramedical-exam</t>
  </si>
  <si>
    <t xml:space="preserve">The ACA bans medical underwriting for major medical health insurance.</t>
  </si>
  <si>
    <t xml:space="preserve">medicare</t>
  </si>
  <si>
    <t xml:space="preserve">Medicare</t>
  </si>
  <si>
    <t xml:space="preserve">The federal health insurance program for people 65 and older and some younger people with disabilities.</t>
  </si>
  <si>
    <t xml:space="preserve">At 65 you enroll in Medicare Part A and B.</t>
  </si>
  <si>
    <t xml:space="preserve">medicare-part-a, medicare-part-b, medicare-advantage, medigap</t>
  </si>
  <si>
    <t xml:space="preserve">medicare-advantage</t>
  </si>
  <si>
    <t xml:space="preserve">Medicare Advantage</t>
  </si>
  <si>
    <t xml:space="preserve">Medicare Part C; MA</t>
  </si>
  <si>
    <t xml:space="preserve">Private health plans approved by Medicare that replace Original Medicare coverage, often with extra benefits and a network.</t>
  </si>
  <si>
    <t xml:space="preserve">An MA HMO includes dental and vision.</t>
  </si>
  <si>
    <t xml:space="preserve">medicare, medigap, risk-adjustment</t>
  </si>
  <si>
    <t xml:space="preserve">annual-enrollment-period</t>
  </si>
  <si>
    <t xml:space="preserve">Medicare Annual Enrollment Period</t>
  </si>
  <si>
    <t xml:space="preserve">AEP</t>
  </si>
  <si>
    <t xml:space="preserve">The yearly period, October 15 to December 7, when Medicare beneficiaries can change Medicare Advantage or Part D plans.</t>
  </si>
  <si>
    <t xml:space="preserve">You switch Part D plans during AEP.</t>
  </si>
  <si>
    <t xml:space="preserve">open-enrollment-period, medicare-advantage</t>
  </si>
  <si>
    <t xml:space="preserve">medicare-part-a</t>
  </si>
  <si>
    <t xml:space="preserve">Medicare Part A</t>
  </si>
  <si>
    <t xml:space="preserve">Hospital Insurance</t>
  </si>
  <si>
    <t xml:space="preserve">The part of Medicare covering inpatient hospital care, skilled nursing, hospice and some home health.</t>
  </si>
  <si>
    <t xml:space="preserve">Part A pays for your 3-day hospital stay after your deductible.</t>
  </si>
  <si>
    <t xml:space="preserve">medicare, medicare-part-b</t>
  </si>
  <si>
    <t xml:space="preserve">medicare-part-b</t>
  </si>
  <si>
    <t xml:space="preserve">Medicare Part B</t>
  </si>
  <si>
    <t xml:space="preserve">Medical Insurance</t>
  </si>
  <si>
    <t xml:space="preserve">The part of Medicare covering doctor visits, outpatient care and preventive services, with a monthly premium.</t>
  </si>
  <si>
    <t xml:space="preserve">Part B pays 80% of approved doctor charges.</t>
  </si>
  <si>
    <t xml:space="preserve">medicare, medicare-part-a, medigap</t>
  </si>
  <si>
    <t xml:space="preserve">medicare-part-d</t>
  </si>
  <si>
    <t xml:space="preserve">Medicare Part D</t>
  </si>
  <si>
    <t xml:space="preserve">Prescription Drug Plan</t>
  </si>
  <si>
    <t xml:space="preserve">Medicare prescription drug coverage offered through private plans.</t>
  </si>
  <si>
    <t xml:space="preserve">A Part D plan covers your blood pressure pills.</t>
  </si>
  <si>
    <t xml:space="preserve">medicare, formulary</t>
  </si>
  <si>
    <t xml:space="preserve">The Inflation Reduction Act capped Part D out-of-pocket costs starting 2025.</t>
  </si>
  <si>
    <t xml:space="preserve">medigap</t>
  </si>
  <si>
    <t xml:space="preserve">Medigap</t>
  </si>
  <si>
    <t xml:space="preserve">Medicare Supplement Insurance</t>
  </si>
  <si>
    <t xml:space="preserve">Private insurance that pays some costs Original Medicare doesn't, like coinsurance and deductibles.</t>
  </si>
  <si>
    <t xml:space="preserve">Medigap Plan G covers your 20% Part B coinsurance.</t>
  </si>
  <si>
    <t xml:space="preserve">Plans are standardized by letter (A–N); Massachusetts, Minnesota and Wisconsin use different standards.</t>
  </si>
  <si>
    <t xml:space="preserve">mental-health-parity</t>
  </si>
  <si>
    <t xml:space="preserve">Mental Health Parity</t>
  </si>
  <si>
    <t xml:space="preserve">MHPAEA</t>
  </si>
  <si>
    <t xml:space="preserve">Federal rules requiring mental health and substance use benefits to be no more restrictive than medical benefits.</t>
  </si>
  <si>
    <t xml:space="preserve">Therapy visits can't have higher copays than other doctor visits.</t>
  </si>
  <si>
    <t xml:space="preserve">Metal Tiers</t>
  </si>
  <si>
    <t xml:space="preserve">Bronze, Silver, Gold, Platinum</t>
  </si>
  <si>
    <t xml:space="preserve">ACA plan categories based on how much of costs the plan pays on average: bronze 60%, silver 70%, gold 80%, platinum 90%.</t>
  </si>
  <si>
    <t xml:space="preserve">A bronze plan has low premiums but high deductibles.</t>
  </si>
  <si>
    <t xml:space="preserve">actuarial-value, health-insurance-marketplace</t>
  </si>
  <si>
    <t xml:space="preserve">medical-information-bureau</t>
  </si>
  <si>
    <t xml:space="preserve">MIB</t>
  </si>
  <si>
    <t xml:space="preserve">Medical Information Bureau</t>
  </si>
  <si>
    <t xml:space="preserve">A US organization where member life and health insurers share coded information from past applications to detect nondisclosure.</t>
  </si>
  <si>
    <t xml:space="preserve">MIB shows a prior application disclosing heart problems.</t>
  </si>
  <si>
    <t xml:space="preserve">underwriting, misrepresentation</t>
  </si>
  <si>
    <t xml:space="preserve">Consumers can request their MIB file free under FCRA.</t>
  </si>
  <si>
    <t xml:space="preserve">mid-term-adjustment</t>
  </si>
  <si>
    <t xml:space="preserve">Mid-Term Adjustment</t>
  </si>
  <si>
    <t xml:space="preserve">MTA; Policy Change; Endorsement Transaction</t>
  </si>
  <si>
    <t xml:space="preserve">A change made to a policy during its term, which may change the premium.</t>
  </si>
  <si>
    <t xml:space="preserve">Adding a teen driver in month 4 increases the premium.</t>
  </si>
  <si>
    <t xml:space="preserve">endorsement, out-of-sequence-endorsement, return-premium</t>
  </si>
  <si>
    <t xml:space="preserve">miller-act</t>
  </si>
  <si>
    <t xml:space="preserve">Miller Act</t>
  </si>
  <si>
    <t xml:space="preserve">A federal law requiring performance and payment bonds on federal construction contracts over $150,000.</t>
  </si>
  <si>
    <t xml:space="preserve">A federal courthouse project requires bonds.</t>
  </si>
  <si>
    <t xml:space="preserve">performance-bond, payment-bond</t>
  </si>
  <si>
    <t xml:space="preserve">States have 'Little Miller Acts' for state projects.</t>
  </si>
  <si>
    <t xml:space="preserve">minimum-premium</t>
  </si>
  <si>
    <t xml:space="preserve">Minimum Premium</t>
  </si>
  <si>
    <t xml:space="preserve">The lowest premium the insurer will charge for a policy regardless of exposures or cancellation.</t>
  </si>
  <si>
    <t xml:space="preserve">Even after mid-term cancellation, a $250 minimum premium applies.</t>
  </si>
  <si>
    <t xml:space="preserve">deposit-premium, fully-earned-premium</t>
  </si>
  <si>
    <t xml:space="preserve">misrepresentation</t>
  </si>
  <si>
    <t xml:space="preserve">Misrepresentation</t>
  </si>
  <si>
    <t xml:space="preserve">A false statement on an application or in a claim.</t>
  </si>
  <si>
    <t xml:space="preserve">Saying you don't smoke when you do is a misrepresentation.</t>
  </si>
  <si>
    <t xml:space="preserve">material-fact, rescission, concealment, insurance-fraud</t>
  </si>
  <si>
    <t xml:space="preserve">misstatement-of-age-clause</t>
  </si>
  <si>
    <t xml:space="preserve">Misstatement of Age Clause</t>
  </si>
  <si>
    <t xml:space="preserve">Misstatement of Age or Sex</t>
  </si>
  <si>
    <t xml:space="preserve">If your age was wrong on the application, the benefit is adjusted to what the premium paid would have bought at the correct age.</t>
  </si>
  <si>
    <t xml:space="preserve">A benefit is reduced from $100,000 to $92,000 because the insured was older than stated.</t>
  </si>
  <si>
    <t xml:space="preserve">misrepresentation, incontestability-clause</t>
  </si>
  <si>
    <t xml:space="preserve">model-law</t>
  </si>
  <si>
    <t xml:space="preserve">Model Law</t>
  </si>
  <si>
    <t xml:space="preserve">Model Act; Model Regulation</t>
  </si>
  <si>
    <t xml:space="preserve">A draft law written by the NAIC that states can adopt, sometimes with changes.</t>
  </si>
  <si>
    <t xml:space="preserve">The NAIC Insurance Data Security Model Law adopted by many states.</t>
  </si>
  <si>
    <t xml:space="preserve">naic</t>
  </si>
  <si>
    <t xml:space="preserve">Modified Endowment Contract</t>
  </si>
  <si>
    <t xml:space="preserve">MEC</t>
  </si>
  <si>
    <t xml:space="preserve">A life policy funded too quickly under federal tax rules, which loses some tax advantages on loans and withdrawals.</t>
  </si>
  <si>
    <t xml:space="preserve">Paying a huge single premium turns a policy into a MEC.</t>
  </si>
  <si>
    <t xml:space="preserve">seven-pay-test, policy-loan</t>
  </si>
  <si>
    <t xml:space="preserve">Defined in Internal Revenue Code Section 7702A.</t>
  </si>
  <si>
    <t xml:space="preserve">mold-exclusion</t>
  </si>
  <si>
    <t xml:space="preserve">Mold Exclusion</t>
  </si>
  <si>
    <t xml:space="preserve">Fungi Exclusion</t>
  </si>
  <si>
    <t xml:space="preserve">Limits or excludes coverage for mold damage.</t>
  </si>
  <si>
    <t xml:space="preserve">Mold from long-term humidity isn't covered.</t>
  </si>
  <si>
    <t xml:space="preserve">monopolistic-state-fund</t>
  </si>
  <si>
    <t xml:space="preserve">Monopolistic State Fund</t>
  </si>
  <si>
    <t xml:space="preserve">A state-run workers' comp insurer that is the only allowed source of WC coverage in that state.</t>
  </si>
  <si>
    <t xml:space="preserve">Ohio employers must buy WC from the Ohio BWC.</t>
  </si>
  <si>
    <t xml:space="preserve">workers-compensation-insurance, state-fund</t>
  </si>
  <si>
    <t xml:space="preserve">moral-hazard</t>
  </si>
  <si>
    <t xml:space="preserve">Moral Hazard</t>
  </si>
  <si>
    <t xml:space="preserve">The risk that someone acts dishonestly, such as faking a claim, because they are insured.</t>
  </si>
  <si>
    <t xml:space="preserve">A struggling business owner sets fire to the shop to collect insurance.</t>
  </si>
  <si>
    <t xml:space="preserve">hazard, morale-hazard, insurance-fraud</t>
  </si>
  <si>
    <t xml:space="preserve">morale-hazard</t>
  </si>
  <si>
    <t xml:space="preserve">Morale Hazard</t>
  </si>
  <si>
    <t xml:space="preserve">Attitudinal Hazard</t>
  </si>
  <si>
    <t xml:space="preserve">Carelessness that happens because a person knows they are insured.</t>
  </si>
  <si>
    <t xml:space="preserve">Leaving your car unlocked because 'insurance will pay if it's stolen'.</t>
  </si>
  <si>
    <t xml:space="preserve">hazard, moral-hazard</t>
  </si>
  <si>
    <t xml:space="preserve">morbidity-rate</t>
  </si>
  <si>
    <t xml:space="preserve">Morbidity Rate</t>
  </si>
  <si>
    <t xml:space="preserve">The rate of illness or disability in a group.</t>
  </si>
  <si>
    <t xml:space="preserve">Disability insurers price based on morbidity rates.</t>
  </si>
  <si>
    <t xml:space="preserve">mortality-rate</t>
  </si>
  <si>
    <t xml:space="preserve">Mortality Rate</t>
  </si>
  <si>
    <t xml:space="preserve">The chance of dying within a given period, often per 1,000 people at a given age.</t>
  </si>
  <si>
    <t xml:space="preserve">A mortality rate of 2 per 1,000 at age 50.</t>
  </si>
  <si>
    <t xml:space="preserve">mortality-table, morbidity-rate</t>
  </si>
  <si>
    <t xml:space="preserve">mortality-table</t>
  </si>
  <si>
    <t xml:space="preserve">Mortality Table</t>
  </si>
  <si>
    <t xml:space="preserve">Life Table</t>
  </si>
  <si>
    <t xml:space="preserve">A table showing the probability of death at each age, used to price life insurance and annuities.</t>
  </si>
  <si>
    <t xml:space="preserve">The 2017 CSO table is used for reserves.</t>
  </si>
  <si>
    <t xml:space="preserve">mortality-rate, actuary</t>
  </si>
  <si>
    <t xml:space="preserve">The CSO (Commissioners Standard Ordinary) tables are adopted by the NAIC.</t>
  </si>
  <si>
    <t xml:space="preserve">mortgage-insurance</t>
  </si>
  <si>
    <t xml:space="preserve">Mortgage Insurance</t>
  </si>
  <si>
    <t xml:space="preserve">PMI; Private Mortgage Insurance</t>
  </si>
  <si>
    <t xml:space="preserve">Insurance that protects the lender if a borrower stops paying the mortgage, typically required with a down payment under 20%.</t>
  </si>
  <si>
    <t xml:space="preserve">You pay PMI until you reach 20% equity.</t>
  </si>
  <si>
    <t xml:space="preserve">FHA loans use federal mortgage insurance premiums (MIP).</t>
  </si>
  <si>
    <t xml:space="preserve">Mortgage Protection Insurance</t>
  </si>
  <si>
    <t xml:space="preserve">Life insurance meant to pay off a mortgage if the borrower dies.</t>
  </si>
  <si>
    <t xml:space="preserve">A decreasing term policy pays the remaining mortgage.</t>
  </si>
  <si>
    <t xml:space="preserve">decreasing-term, mortgage-insurance</t>
  </si>
  <si>
    <t xml:space="preserve">mortgagee-clause</t>
  </si>
  <si>
    <t xml:space="preserve">Mortgagee Clause</t>
  </si>
  <si>
    <t xml:space="preserve">Standard Mortgage Clause</t>
  </si>
  <si>
    <t xml:space="preserve">Protects the mortgage lender's interest so it gets paid even if the homeowner's own coverage is voided.</t>
  </si>
  <si>
    <t xml:space="preserve">A claim check is made out to you and your mortgage company.</t>
  </si>
  <si>
    <t xml:space="preserve">loss-payee, lienholder</t>
  </si>
  <si>
    <t xml:space="preserve">Motor Carrier Coverage</t>
  </si>
  <si>
    <t xml:space="preserve">Trucking Insurance</t>
  </si>
  <si>
    <t xml:space="preserve">Coverage for trucking companies, including liability required by federal rules for interstate haulers.</t>
  </si>
  <si>
    <t xml:space="preserve">A trucking firm needs $750,000 minimum liability.</t>
  </si>
  <si>
    <t xml:space="preserve">mcs-90, motor-truck-cargo</t>
  </si>
  <si>
    <t xml:space="preserve">FMCSA sets minimum limits for interstate carriers.</t>
  </si>
  <si>
    <t xml:space="preserve">motor-truck-cargo</t>
  </si>
  <si>
    <t xml:space="preserve">Motor Truck Cargo</t>
  </si>
  <si>
    <t xml:space="preserve">Motor, Marine/Aviation/Transit</t>
  </si>
  <si>
    <t xml:space="preserve">Covers freight hauled by a trucker against damage or loss.</t>
  </si>
  <si>
    <t xml:space="preserve">A load of TVs is stolen from a trailer.</t>
  </si>
  <si>
    <t xml:space="preserve">motor-carrier, cargo-insurance</t>
  </si>
  <si>
    <t xml:space="preserve">Motor Vehicle Report</t>
  </si>
  <si>
    <t xml:space="preserve">MVR; Driving Record</t>
  </si>
  <si>
    <t xml:space="preserve">A state record of a person's driving history, including violations, accidents and suspensions.</t>
  </si>
  <si>
    <t xml:space="preserve">An MVR shows two speeding tickets in three years.</t>
  </si>
  <si>
    <t xml:space="preserve">driving-record-points, underwriting</t>
  </si>
  <si>
    <t xml:space="preserve">Obtained from each state DMV; retention periods vary.</t>
  </si>
  <si>
    <t xml:space="preserve">Multi-Peril Crop Insurance</t>
  </si>
  <si>
    <t xml:space="preserve">MPCI</t>
  </si>
  <si>
    <t xml:space="preserve">Federally subsidized crop insurance covering yield loss from many natural causes.</t>
  </si>
  <si>
    <t xml:space="preserve">A soybean farmer is paid after floods.</t>
  </si>
  <si>
    <t xml:space="preserve">crop-insurance, revenue-protection, actual-production-history</t>
  </si>
  <si>
    <t xml:space="preserve">Sold by private Approved Insurance Providers and reinsured by the federal government.</t>
  </si>
  <si>
    <t xml:space="preserve">multi-policy-discount</t>
  </si>
  <si>
    <t xml:space="preserve">Multi-Policy Discount</t>
  </si>
  <si>
    <t xml:space="preserve">Bundling Discount</t>
  </si>
  <si>
    <t xml:space="preserve">A discount for buying more than one policy, such as home and auto, from the same insurer.</t>
  </si>
  <si>
    <t xml:space="preserve">15% off for bundling home and auto.</t>
  </si>
  <si>
    <t xml:space="preserve">rating-factor</t>
  </si>
  <si>
    <t xml:space="preserve">Mutual Insurance Company</t>
  </si>
  <si>
    <t xml:space="preserve">Mutual</t>
  </si>
  <si>
    <t xml:space="preserve">An insurer owned by its policyholders rather than shareholders.</t>
  </si>
  <si>
    <t xml:space="preserve">State Farm and Northwestern Mutual are mutuals.</t>
  </si>
  <si>
    <t xml:space="preserve">stock-insurance-company, dividend, reciprocal-exchange</t>
  </si>
  <si>
    <t xml:space="preserve">NAIC</t>
  </si>
  <si>
    <t xml:space="preserve">National Association of Insurance Commissioners</t>
  </si>
  <si>
    <t xml:space="preserve">The organization of US state insurance regulators that writes model laws and sets accounting and reporting standards.</t>
  </si>
  <si>
    <t xml:space="preserve">NAIC model laws guide how states regulate data security.</t>
  </si>
  <si>
    <t xml:space="preserve">state-department-of-insurance, model-law, statutory-accounting-principles</t>
  </si>
  <si>
    <t xml:space="preserve">naics-code</t>
  </si>
  <si>
    <t xml:space="preserve">NAICS Code</t>
  </si>
  <si>
    <t xml:space="preserve">North American Industry Classification System</t>
  </si>
  <si>
    <t xml:space="preserve">A standard code classifying businesses by industry, used in underwriting and data.</t>
  </si>
  <si>
    <t xml:space="preserve">NAICS 722511 means full-service restaurants.</t>
  </si>
  <si>
    <t xml:space="preserve">Application form, Underwriting system</t>
  </si>
  <si>
    <t xml:space="preserve">class-code, sic-code</t>
  </si>
  <si>
    <t xml:space="preserve">named-insured</t>
  </si>
  <si>
    <t xml:space="preserve">Named Insured</t>
  </si>
  <si>
    <t xml:space="preserve">First Named Insured</t>
  </si>
  <si>
    <t xml:space="preserve">The person or business specifically listed on the declarations page, who has the main rights and duties under the policy.</t>
  </si>
  <si>
    <t xml:space="preserve">'Jane Smith' is shown as named insured on the declarations page of her home policy.</t>
  </si>
  <si>
    <t xml:space="preserve">insured, additional-insured, declarations-page</t>
  </si>
  <si>
    <t xml:space="preserve">named-perils</t>
  </si>
  <si>
    <t xml:space="preserve">Named Perils</t>
  </si>
  <si>
    <t xml:space="preserve">Specified Perils</t>
  </si>
  <si>
    <t xml:space="preserve">Coverage only for the causes of loss specifically listed in the policy.</t>
  </si>
  <si>
    <t xml:space="preserve">A policy covering fire, lightning, windstorm and hail only.</t>
  </si>
  <si>
    <t xml:space="preserve">open-perils, peril, basic-form, broad-form</t>
  </si>
  <si>
    <t xml:space="preserve">narrow-network</t>
  </si>
  <si>
    <t xml:space="preserve">Narrow Network</t>
  </si>
  <si>
    <t xml:space="preserve">A plan with a small group of providers, usually in exchange for lower premiums.</t>
  </si>
  <si>
    <t xml:space="preserve">A marketplace plan limited to one hospital system.</t>
  </si>
  <si>
    <t xml:space="preserve">provider-network, network-adequacy</t>
  </si>
  <si>
    <t xml:space="preserve">National Flood Insurance Program</t>
  </si>
  <si>
    <t xml:space="preserve">NFIP</t>
  </si>
  <si>
    <t xml:space="preserve">A federal program run by FEMA that provides flood insurance to property owners in participating communities.</t>
  </si>
  <si>
    <t xml:space="preserve">You buy NFIP flood insurance through your agent.</t>
  </si>
  <si>
    <t xml:space="preserve">flood-insurance, fema, write-your-own</t>
  </si>
  <si>
    <t xml:space="preserve">Building coverage caps at $250,000 for homes.</t>
  </si>
  <si>
    <t xml:space="preserve">national-producer-number</t>
  </si>
  <si>
    <t xml:space="preserve">National Producer Number</t>
  </si>
  <si>
    <t xml:space="preserve">NPN</t>
  </si>
  <si>
    <t xml:space="preserve">A unique ID number assigned to each licensed producer nationwide.</t>
  </si>
  <si>
    <t xml:space="preserve">NPN 1234567 appears on appointment filings.</t>
  </si>
  <si>
    <t xml:space="preserve">Regulatory filings, Policy administration system</t>
  </si>
  <si>
    <t xml:space="preserve">nipr, producer-license</t>
  </si>
  <si>
    <t xml:space="preserve">ncci</t>
  </si>
  <si>
    <t xml:space="preserve">NCCI</t>
  </si>
  <si>
    <t xml:space="preserve">National Council on Compensation Insurance</t>
  </si>
  <si>
    <t xml:space="preserve">The organization that collects data and files workers' compensation loss costs and class codes in most states.</t>
  </si>
  <si>
    <t xml:space="preserve">NCCI calculates an employer's experience mod.</t>
  </si>
  <si>
    <t xml:space="preserve">experience-modification-factor, workers-compensation-insurance, class-code</t>
  </si>
  <si>
    <t xml:space="preserve">Some states, like California and New York, use their own rating bureaus.</t>
  </si>
  <si>
    <t xml:space="preserve">negligence</t>
  </si>
  <si>
    <t xml:space="preserve">Negligence</t>
  </si>
  <si>
    <t xml:space="preserve">Failing to take the care a reasonable person would take, causing harm to someone.</t>
  </si>
  <si>
    <t xml:space="preserve">A store that doesn't clean a spill may be negligent if a shopper slips.</t>
  </si>
  <si>
    <t xml:space="preserve">liability, comparative-negligence, duty-of-care</t>
  </si>
  <si>
    <t xml:space="preserve">net-amount-at-risk</t>
  </si>
  <si>
    <t xml:space="preserve">Net Amount at Risk</t>
  </si>
  <si>
    <t xml:space="preserve">NAR</t>
  </si>
  <si>
    <t xml:space="preserve">The death benefit minus the cash value; what the insurer truly has at risk.</t>
  </si>
  <si>
    <t xml:space="preserve">$500,000 death benefit minus $100,000 cash value is $400,000 NAR.</t>
  </si>
  <si>
    <t xml:space="preserve">cost-of-insurance, cash-value</t>
  </si>
  <si>
    <t xml:space="preserve">net-written-premium</t>
  </si>
  <si>
    <t xml:space="preserve">Net Written Premium</t>
  </si>
  <si>
    <t xml:space="preserve">NWP</t>
  </si>
  <si>
    <t xml:space="preserve">Written premium after subtracting premium paid to reinsurers.</t>
  </si>
  <si>
    <t xml:space="preserve">$50M gross minus $10M ceded equals $40M net written.</t>
  </si>
  <si>
    <t xml:space="preserve">written-premium, ceded-premium</t>
  </si>
  <si>
    <t xml:space="preserve">network-adequacy</t>
  </si>
  <si>
    <t xml:space="preserve">Network Adequacy</t>
  </si>
  <si>
    <t xml:space="preserve">Rules requiring health plans to have enough providers so members can get care without long travel or waits.</t>
  </si>
  <si>
    <t xml:space="preserve">A plan must have a pediatrician within 30 miles.</t>
  </si>
  <si>
    <t xml:space="preserve">provider-network</t>
  </si>
  <si>
    <t xml:space="preserve">Standards set by states and CMS for marketplace plans.</t>
  </si>
  <si>
    <t xml:space="preserve">network-security-liability</t>
  </si>
  <si>
    <t xml:space="preserve">Network Security and Privacy Liability</t>
  </si>
  <si>
    <t xml:space="preserve">Third-Party Cyber</t>
  </si>
  <si>
    <t xml:space="preserve">Covers claims from others harmed by your data breach or security failure.</t>
  </si>
  <si>
    <t xml:space="preserve">Customers sue after their card data is stolen.</t>
  </si>
  <si>
    <t xml:space="preserve">new-business</t>
  </si>
  <si>
    <t xml:space="preserve">New Business</t>
  </si>
  <si>
    <t xml:space="preserve">Policies written for customers who were not previously insured by that insurer.</t>
  </si>
  <si>
    <t xml:space="preserve">A spike in new business after a marketing campaign.</t>
  </si>
  <si>
    <t xml:space="preserve">Policy administration system, Financial statements</t>
  </si>
  <si>
    <t xml:space="preserve">renewal, retention-ratio</t>
  </si>
  <si>
    <t xml:space="preserve">new-car-replacement</t>
  </si>
  <si>
    <t xml:space="preserve">New Car Replacement</t>
  </si>
  <si>
    <t xml:space="preserve">Pays to replace a totaled new car with a brand new one instead of its depreciated value.</t>
  </si>
  <si>
    <t xml:space="preserve">Your 1-year-old car is replaced with a new model.</t>
  </si>
  <si>
    <t xml:space="preserve">total-loss, gap-insurance</t>
  </si>
  <si>
    <t xml:space="preserve">nipr</t>
  </si>
  <si>
    <t xml:space="preserve">NIPR</t>
  </si>
  <si>
    <t xml:space="preserve">National Insurance Producer Registry</t>
  </si>
  <si>
    <t xml:space="preserve">A nonprofit that runs a national database and gateway for producer licensing across states.</t>
  </si>
  <si>
    <t xml:space="preserve">An agency uses NIPR to renew non-resident licenses in 10 states.</t>
  </si>
  <si>
    <t xml:space="preserve">producer-license, national-producer-number</t>
  </si>
  <si>
    <t xml:space="preserve">no-surprises-act</t>
  </si>
  <si>
    <t xml:space="preserve">No Surprises Act</t>
  </si>
  <si>
    <t xml:space="preserve">A 2022 federal law protecting patients from surprise bills for most emergency care and some out-of-network care at in-network facilities.</t>
  </si>
  <si>
    <t xml:space="preserve">An out-of-network anesthesiologist can't balance bill you after in-network surgery.</t>
  </si>
  <si>
    <t xml:space="preserve">balance-billing, out-of-network</t>
  </si>
  <si>
    <t xml:space="preserve">Many states had their own surprise billing laws before this federal law.</t>
  </si>
  <si>
    <t xml:space="preserve">no-fault-insurance</t>
  </si>
  <si>
    <t xml:space="preserve">No-Fault Insurance</t>
  </si>
  <si>
    <t xml:space="preserve">A system where your own insurer pays your injury costs regardless of fault, and lawsuits are limited.</t>
  </si>
  <si>
    <t xml:space="preserve">Your own PIP pays after a crash in New York.</t>
  </si>
  <si>
    <t xml:space="preserve">personal-injury-protection, tort-threshold</t>
  </si>
  <si>
    <t xml:space="preserve">About a dozen states use no-fault systems.</t>
  </si>
  <si>
    <t xml:space="preserve">no-lapse-guarantee</t>
  </si>
  <si>
    <t xml:space="preserve">No-Lapse Guarantee</t>
  </si>
  <si>
    <t xml:space="preserve">Secondary Guarantee</t>
  </si>
  <si>
    <t xml:space="preserve">A promise that a UL policy will stay in force as long as required premiums are paid, even if cash value runs out.</t>
  </si>
  <si>
    <t xml:space="preserve">Paying the guarantee premium keeps the policy alive to age 95.</t>
  </si>
  <si>
    <t xml:space="preserve">non-admitted-insurer</t>
  </si>
  <si>
    <t xml:space="preserve">Non-Admitted Insurer</t>
  </si>
  <si>
    <t xml:space="preserve">Surplus Lines Insurer; E&amp;S Carrier</t>
  </si>
  <si>
    <t xml:space="preserve">An insurer not licensed in a state but allowed to write coverage there through surplus lines brokers, with more freedom on rates and forms.</t>
  </si>
  <si>
    <t xml:space="preserve">A hard-to-place coastal property risk goes to a non-admitted insurer.</t>
  </si>
  <si>
    <t xml:space="preserve">admitted-insurer, surplus-lines, surplus-lines-broker</t>
  </si>
  <si>
    <t xml:space="preserve">Not backed by state guaranty funds in most states.</t>
  </si>
  <si>
    <t xml:space="preserve">non-proportional-reinsurance</t>
  </si>
  <si>
    <t xml:space="preserve">Non-Proportional Reinsurance</t>
  </si>
  <si>
    <t xml:space="preserve">The reinsurer pays losses above a set retention up to a limit; premiums aren't shared in proportion.</t>
  </si>
  <si>
    <t xml:space="preserve">The reinsurer pays losses above $5M.</t>
  </si>
  <si>
    <t xml:space="preserve">excess-of-loss, proportional-reinsurance</t>
  </si>
  <si>
    <t xml:space="preserve">Non-Qualified Annuity</t>
  </si>
  <si>
    <t xml:space="preserve">An annuity bought with after-tax money; only the earnings are taxed on withdrawal.</t>
  </si>
  <si>
    <t xml:space="preserve">Buying an annuity with savings from your bank account.</t>
  </si>
  <si>
    <t xml:space="preserve">qualified-annuity</t>
  </si>
  <si>
    <t xml:space="preserve">non-renewal</t>
  </si>
  <si>
    <t xml:space="preserve">Non-Renewal</t>
  </si>
  <si>
    <t xml:space="preserve">The insurer's decision not to continue a policy when it expires.</t>
  </si>
  <si>
    <t xml:space="preserve">An insurer non-renews homes in a wildfire zone.</t>
  </si>
  <si>
    <t xml:space="preserve">renewal, cancellation</t>
  </si>
  <si>
    <t xml:space="preserve">States set minimum notice periods (often 30–60 days) and sometimes restrict reasons.</t>
  </si>
  <si>
    <t xml:space="preserve">Nonforfeiture Options</t>
  </si>
  <si>
    <t xml:space="preserve">Choices for using cash value if you stop paying premiums: take cash, buy reduced paid-up insurance or extended term.</t>
  </si>
  <si>
    <t xml:space="preserve">You choose reduced paid-up insurance of $30,000.</t>
  </si>
  <si>
    <t xml:space="preserve">cash-surrender-value, reduced-paid-up, extended-term-insurance</t>
  </si>
  <si>
    <t xml:space="preserve">Required by state standard nonforfeiture laws.</t>
  </si>
  <si>
    <t xml:space="preserve">nose-coverage</t>
  </si>
  <si>
    <t xml:space="preserve">Nose Coverage</t>
  </si>
  <si>
    <t xml:space="preserve">Prior Acts Coverage</t>
  </si>
  <si>
    <t xml:space="preserve">Coverage on a new claims-made policy for incidents before its start date, replacing the need for a tail from the old policy.</t>
  </si>
  <si>
    <t xml:space="preserve">A new insurer grants prior acts back to 2015.</t>
  </si>
  <si>
    <t xml:space="preserve">tail-coverage, prior-acts-coverage, retroactive-date</t>
  </si>
  <si>
    <t xml:space="preserve">notice-of-cancellation</t>
  </si>
  <si>
    <t xml:space="preserve">Notice of Cancellation</t>
  </si>
  <si>
    <t xml:space="preserve">A written notice that a policy will be cancelled on a certain date.</t>
  </si>
  <si>
    <t xml:space="preserve">A notice of cancellation for non-payment gives 10 days.</t>
  </si>
  <si>
    <t xml:space="preserve">Billing statement, Renewal notice</t>
  </si>
  <si>
    <t xml:space="preserve">cancellation, grace-period</t>
  </si>
  <si>
    <t xml:space="preserve">Minimum notice periods are set by state law.</t>
  </si>
  <si>
    <t xml:space="preserve">notice-of-loss</t>
  </si>
  <si>
    <t xml:space="preserve">Notice of Loss</t>
  </si>
  <si>
    <t xml:space="preserve">Notice of Claim</t>
  </si>
  <si>
    <t xml:space="preserve">Telling the insurer that a loss or claim has happened.</t>
  </si>
  <si>
    <t xml:space="preserve">Calling your insurer the day after a car accident.</t>
  </si>
  <si>
    <t xml:space="preserve">first-notice-of-loss, duties-after-loss</t>
  </si>
  <si>
    <t xml:space="preserve">nuclear-exclusion</t>
  </si>
  <si>
    <t xml:space="preserve">Nuclear Exclusion</t>
  </si>
  <si>
    <t xml:space="preserve">Nuclear Hazard Exclusion</t>
  </si>
  <si>
    <t xml:space="preserve">Excludes losses from nuclear reaction, radiation or radioactive contamination.</t>
  </si>
  <si>
    <t xml:space="preserve">Contamination from a nuclear plant accident is excluded.</t>
  </si>
  <si>
    <t xml:space="preserve">Nuclear liability is handled by the Price-Anderson Act and nuclear pools.</t>
  </si>
  <si>
    <t xml:space="preserve">obligee</t>
  </si>
  <si>
    <t xml:space="preserve">Obligee</t>
  </si>
  <si>
    <t xml:space="preserve">The party protected by a surety bond.</t>
  </si>
  <si>
    <t xml:space="preserve">The city is the obligee on a road construction bond.</t>
  </si>
  <si>
    <t xml:space="preserve">surety-bond, principal</t>
  </si>
  <si>
    <t xml:space="preserve">occupancy</t>
  </si>
  <si>
    <t xml:space="preserve">Occupancy</t>
  </si>
  <si>
    <t xml:space="preserve">How a building is used, such as owner-occupied home, rental or restaurant.</t>
  </si>
  <si>
    <t xml:space="preserve">A restaurant is a different occupancy from an office.</t>
  </si>
  <si>
    <t xml:space="preserve">construction-type, cope, vacancy-clause</t>
  </si>
  <si>
    <t xml:space="preserve">occurrence</t>
  </si>
  <si>
    <t xml:space="preserve">Occurrence</t>
  </si>
  <si>
    <t xml:space="preserve">An accident, including continuous or repeated exposure to the same harmful conditions, that causes injury or damage.</t>
  </si>
  <si>
    <t xml:space="preserve">A leaking pipe damaging a neighbor's unit over several weeks may be one occurrence.</t>
  </si>
  <si>
    <t xml:space="preserve">occurrence-policy, per-occurrence-limit, accident</t>
  </si>
  <si>
    <t xml:space="preserve">occurrence-policy</t>
  </si>
  <si>
    <t xml:space="preserve">Occurrence Policy</t>
  </si>
  <si>
    <t xml:space="preserve">A policy that covers injury or damage that happens during the policy period, no matter when the claim is made.</t>
  </si>
  <si>
    <t xml:space="preserve">A 2020 occurrence policy covers a 2020 injury even if the lawsuit comes in 2025.</t>
  </si>
  <si>
    <t xml:space="preserve">claims-made-policy, occurrence</t>
  </si>
  <si>
    <t xml:space="preserve">ocean-marine-insurance</t>
  </si>
  <si>
    <t xml:space="preserve">Ocean Marine Insurance</t>
  </si>
  <si>
    <t xml:space="preserve">Marine Insurance</t>
  </si>
  <si>
    <t xml:space="preserve">Insurance for ships, cargo and marine liability for goods moving by sea.</t>
  </si>
  <si>
    <t xml:space="preserve">A container of electronics lost overboard.</t>
  </si>
  <si>
    <t xml:space="preserve">hull-insurance, cargo-insurance, protection-and-indemnity</t>
  </si>
  <si>
    <t xml:space="preserve">ofac</t>
  </si>
  <si>
    <t xml:space="preserve">OFAC</t>
  </si>
  <si>
    <t xml:space="preserve">Office of Foreign Assets Control</t>
  </si>
  <si>
    <t xml:space="preserve">A US Treasury office whose sanctions rules forbid insurers from dealing with sanctioned people or countries.</t>
  </si>
  <si>
    <t xml:space="preserve">A payment is blocked because the claimant is on the sanctions list.</t>
  </si>
  <si>
    <t xml:space="preserve">sanctions-clause, know-your-customer</t>
  </si>
  <si>
    <t xml:space="preserve">open-enrollment-period</t>
  </si>
  <si>
    <t xml:space="preserve">Open Enrollment Period</t>
  </si>
  <si>
    <t xml:space="preserve">OEP; Annual Enrollment</t>
  </si>
  <si>
    <t xml:space="preserve">The yearly window when you can sign up for or change health insurance.</t>
  </si>
  <si>
    <t xml:space="preserve">ACA open enrollment runs from November 1 to January 15 in most states.</t>
  </si>
  <si>
    <t xml:space="preserve">special-enrollment-period, annual-enrollment-period</t>
  </si>
  <si>
    <t xml:space="preserve">open-perils</t>
  </si>
  <si>
    <t xml:space="preserve">Open Perils</t>
  </si>
  <si>
    <t xml:space="preserve">All Risks; Special Form; All-Risk</t>
  </si>
  <si>
    <t xml:space="preserve">Coverage for all causes of loss except those specifically excluded.</t>
  </si>
  <si>
    <t xml:space="preserve">An HO-3 covers the dwelling on an open perils basis.</t>
  </si>
  <si>
    <t xml:space="preserve">named-perils, special-form, exclusion</t>
  </si>
  <si>
    <t xml:space="preserve">operating-ratio</t>
  </si>
  <si>
    <t xml:space="preserve">Operating Ratio</t>
  </si>
  <si>
    <t xml:space="preserve">Combined ratio minus the investment income ratio; shows overall operating profitability.</t>
  </si>
  <si>
    <t xml:space="preserve">A 102% combined ratio minus 6% investment income ratio gives 96%.</t>
  </si>
  <si>
    <t xml:space="preserve">combined-ratio, investment-income</t>
  </si>
  <si>
    <t xml:space="preserve">ordinance-or-law-coverage</t>
  </si>
  <si>
    <t xml:space="preserve">Ordinance or Law Coverage</t>
  </si>
  <si>
    <t xml:space="preserve">Building Code Upgrade Coverage</t>
  </si>
  <si>
    <t xml:space="preserve">Pays extra costs to rebuild to current building codes after a covered loss.</t>
  </si>
  <si>
    <t xml:space="preserve">New code requires sprinklers when rebuilding.</t>
  </si>
  <si>
    <t xml:space="preserve">replacement-cost, endorsement</t>
  </si>
  <si>
    <t xml:space="preserve">own-risk-and-solvency-assessment</t>
  </si>
  <si>
    <t xml:space="preserve">ORSA</t>
  </si>
  <si>
    <t xml:space="preserve">Own Risk and Solvency Assessment</t>
  </si>
  <si>
    <t xml:space="preserve">An insurer's internal review of its risks and whether it has enough capital, reported to regulators.</t>
  </si>
  <si>
    <t xml:space="preserve">A large insurer files an ORSA summary report yearly.</t>
  </si>
  <si>
    <t xml:space="preserve">risk-based-capital, solvency</t>
  </si>
  <si>
    <t xml:space="preserve">Required by NAIC model for larger insurer groups.</t>
  </si>
  <si>
    <t xml:space="preserve">other-insurance-clause</t>
  </si>
  <si>
    <t xml:space="preserve">Other Insurance Clause</t>
  </si>
  <si>
    <t xml:space="preserve">Policy wording explaining how this policy shares a loss with other policies that cover the same thing.</t>
  </si>
  <si>
    <t xml:space="preserve">A policy says it pays excess over any other valid insurance.</t>
  </si>
  <si>
    <t xml:space="preserve">contribution, primary-insurance, excess-insurance</t>
  </si>
  <si>
    <t xml:space="preserve">other-structures-coverage</t>
  </si>
  <si>
    <t xml:space="preserve">Other Structures Coverage</t>
  </si>
  <si>
    <t xml:space="preserve">Coverage B</t>
  </si>
  <si>
    <t xml:space="preserve">Covers structures on your property not attached to the house, like fences, sheds and detached garages.</t>
  </si>
  <si>
    <t xml:space="preserve">Coverage B pays to rebuild a fence knocked down in a storm.</t>
  </si>
  <si>
    <t xml:space="preserve">out-of-network</t>
  </si>
  <si>
    <t xml:space="preserve">Out-of-Network</t>
  </si>
  <si>
    <t xml:space="preserve">Non-Participating Provider</t>
  </si>
  <si>
    <t xml:space="preserve">Providers with no contract with your plan; you usually pay more, or everything.</t>
  </si>
  <si>
    <t xml:space="preserve">An out-of-network specialist costs you 50% coinsurance.</t>
  </si>
  <si>
    <t xml:space="preserve">in-network, balance-billing</t>
  </si>
  <si>
    <t xml:space="preserve">out-of-pocket-maximum</t>
  </si>
  <si>
    <t xml:space="preserve">Out-of-Pocket Maximum</t>
  </si>
  <si>
    <t xml:space="preserve">OOP Max; Out-of-Pocket Limit</t>
  </si>
  <si>
    <t xml:space="preserve">The most you'll pay for covered care in a plan year; after that, the plan pays 100%.</t>
  </si>
  <si>
    <t xml:space="preserve">After paying $9,000, all covered care is free for the rest of the year.</t>
  </si>
  <si>
    <t xml:space="preserve">deductible, cost-sharing</t>
  </si>
  <si>
    <t xml:space="preserve">The ACA sets a federal maximum each year for in-network essential health benefits.</t>
  </si>
  <si>
    <t xml:space="preserve">out-of-sequence-endorsement</t>
  </si>
  <si>
    <t xml:space="preserve">Out-of-Sequence Endorsement</t>
  </si>
  <si>
    <t xml:space="preserve">OOSE</t>
  </si>
  <si>
    <t xml:space="preserve">A policy change with an effective date earlier than a change already processed, which forces the system to recalculate later changes.</t>
  </si>
  <si>
    <t xml:space="preserve">A backdated vehicle addition entered after a later address change.</t>
  </si>
  <si>
    <t xml:space="preserve">mid-term-adjustment, policy-administration-system</t>
  </si>
  <si>
    <t xml:space="preserve">override</t>
  </si>
  <si>
    <t xml:space="preserve">Override</t>
  </si>
  <si>
    <t xml:space="preserve">Override Commission</t>
  </si>
  <si>
    <t xml:space="preserve">A commission paid to a managing agent or MGA on business written by agents under it.</t>
  </si>
  <si>
    <t xml:space="preserve">An MGA earns a 5% override.</t>
  </si>
  <si>
    <t xml:space="preserve">commission, managing-general-agent</t>
  </si>
  <si>
    <t xml:space="preserve">Own Occupation</t>
  </si>
  <si>
    <t xml:space="preserve">Own Occ</t>
  </si>
  <si>
    <t xml:space="preserve">A disability definition that pays if you can't do your specific job, even if you could do another.</t>
  </si>
  <si>
    <t xml:space="preserve">A surgeon who can't operate is paid even while teaching.</t>
  </si>
  <si>
    <t xml:space="preserve">any-occupation, disability-insurance</t>
  </si>
  <si>
    <t xml:space="preserve">paid-losses</t>
  </si>
  <si>
    <t xml:space="preserve">Paid Losses</t>
  </si>
  <si>
    <t xml:space="preserve">Claim payments already made.</t>
  </si>
  <si>
    <t xml:space="preserve">$3M paid on hurricane claims so far.</t>
  </si>
  <si>
    <t xml:space="preserve">total-incurred, incurred-losses</t>
  </si>
  <si>
    <t xml:space="preserve">paid-up-additions</t>
  </si>
  <si>
    <t xml:space="preserve">Paid-Up Additions</t>
  </si>
  <si>
    <t xml:space="preserve">PUA</t>
  </si>
  <si>
    <t xml:space="preserve">Small amounts of extra paid-up whole life coverage bought with dividends or extra premium, increasing cash value and death benefit.</t>
  </si>
  <si>
    <t xml:space="preserve">Dividends buy $2,000 of paid-up additions each year.</t>
  </si>
  <si>
    <t xml:space="preserve">dividend, whole-life-insurance</t>
  </si>
  <si>
    <t xml:space="preserve">paramedical-exam</t>
  </si>
  <si>
    <t xml:space="preserve">Paramedical Exam</t>
  </si>
  <si>
    <t xml:space="preserve">Paramed</t>
  </si>
  <si>
    <t xml:space="preserve">A basic health exam for a life insurance application, often including blood and urine samples, done by a trained examiner.</t>
  </si>
  <si>
    <t xml:space="preserve">A nurse visits your home to take blood pressure and a blood sample.</t>
  </si>
  <si>
    <t xml:space="preserve">medical-underwriting, accelerated-underwriting</t>
  </si>
  <si>
    <t xml:space="preserve">parametric-trigger</t>
  </si>
  <si>
    <t xml:space="preserve">Parametric Trigger</t>
  </si>
  <si>
    <t xml:space="preserve">Parametric Insurance</t>
  </si>
  <si>
    <t xml:space="preserve">Property, Specialty, Agriculture, Alternative Risk Transfer</t>
  </si>
  <si>
    <t xml:space="preserve">Coverage that pays a set amount when a measured event occurs, like wind speed or rainfall, rather than based on actual damage.</t>
  </si>
  <si>
    <t xml:space="preserve">A hotel receives $1M automatically when a hurricane with 120 mph winds passes nearby.</t>
  </si>
  <si>
    <t xml:space="preserve">catastrophe-bond, index-insurance</t>
  </si>
  <si>
    <t xml:space="preserve">partial-loss</t>
  </si>
  <si>
    <t xml:space="preserve">Partial Loss</t>
  </si>
  <si>
    <t xml:space="preserve">Damage that can be repaired and doesn't destroy the whole insured item.</t>
  </si>
  <si>
    <t xml:space="preserve">A dented bumper is a partial loss.</t>
  </si>
  <si>
    <t xml:space="preserve">total-loss</t>
  </si>
  <si>
    <t xml:space="preserve">participating-policy</t>
  </si>
  <si>
    <t xml:space="preserve">Participating Policy</t>
  </si>
  <si>
    <t xml:space="preserve">Par Policy</t>
  </si>
  <si>
    <t xml:space="preserve">A policy eligible for dividends.</t>
  </si>
  <si>
    <t xml:space="preserve">A whole life policy from a mutual insurer that pays dividends.</t>
  </si>
  <si>
    <t xml:space="preserve">dividend, mutual-insurance-company</t>
  </si>
  <si>
    <t xml:space="preserve">participation-rate</t>
  </si>
  <si>
    <t xml:space="preserve">Participation Rate</t>
  </si>
  <si>
    <t xml:space="preserve">The percentage of the index gain credited to an indexed product.</t>
  </si>
  <si>
    <t xml:space="preserve">With 80% participation, a 10% index gain credits 8%.</t>
  </si>
  <si>
    <t xml:space="preserve">cap-rate, floor-rate</t>
  </si>
  <si>
    <t xml:space="preserve">particular-average</t>
  </si>
  <si>
    <t xml:space="preserve">Particular Average</t>
  </si>
  <si>
    <t xml:space="preserve">A partial marine loss that falls only on the owner of the damaged property.</t>
  </si>
  <si>
    <t xml:space="preserve">Only one shipper's cargo is damaged by seawater.</t>
  </si>
  <si>
    <t xml:space="preserve">pasture-rangeland-forage</t>
  </si>
  <si>
    <t xml:space="preserve">Pasture, Rangeland, Forage</t>
  </si>
  <si>
    <t xml:space="preserve">PRF</t>
  </si>
  <si>
    <t xml:space="preserve">A federal index-based program paying ranchers when rainfall in their area falls below normal.</t>
  </si>
  <si>
    <t xml:space="preserve">A rancher is paid when rainfall is 60% of normal.</t>
  </si>
  <si>
    <t xml:space="preserve">payment-bond</t>
  </si>
  <si>
    <t xml:space="preserve">Payment Bond</t>
  </si>
  <si>
    <t xml:space="preserve">A surety bond guaranteeing that a contractor will pay subcontractors and suppliers.</t>
  </si>
  <si>
    <t xml:space="preserve">A supplier is paid by the surety after the contractor defaults.</t>
  </si>
  <si>
    <t xml:space="preserve">performance-bond, miller-act</t>
  </si>
  <si>
    <t xml:space="preserve">payout-option</t>
  </si>
  <si>
    <t xml:space="preserve">Payout Option</t>
  </si>
  <si>
    <t xml:space="preserve">Settlement Option</t>
  </si>
  <si>
    <t xml:space="preserve">The way annuity or life benefits are paid, such as life only, period certain or lump sum.</t>
  </si>
  <si>
    <t xml:space="preserve">A 'life with 10 years certain' payout.</t>
  </si>
  <si>
    <t xml:space="preserve">annuitization, life-only-annuity, period-certain</t>
  </si>
  <si>
    <t xml:space="preserve">pbgc</t>
  </si>
  <si>
    <t xml:space="preserve">PBGC</t>
  </si>
  <si>
    <t xml:space="preserve">Pension Benefit Guaranty Corporation</t>
  </si>
  <si>
    <t xml:space="preserve">A federal agency that insures private defined-benefit pension plans.</t>
  </si>
  <si>
    <t xml:space="preserve">PBGC pays pensions when a company's plan fails.</t>
  </si>
  <si>
    <t xml:space="preserve">pcs-catastrophe</t>
  </si>
  <si>
    <t xml:space="preserve">PCS Catastrophe</t>
  </si>
  <si>
    <t xml:space="preserve">Property Claim Services</t>
  </si>
  <si>
    <t xml:space="preserve">Verisk's Property Claim Services unit identifies catastrophes and estimates industry losses in the US; a 'PCS cat' is an event it designates.</t>
  </si>
  <si>
    <t xml:space="preserve">A severe hailstorm gets a PCS catastrophe serial number.</t>
  </si>
  <si>
    <t xml:space="preserve">catastrophe, industry-loss-warranty</t>
  </si>
  <si>
    <t xml:space="preserve">per-capita</t>
  </si>
  <si>
    <t xml:space="preserve">Per Capita</t>
  </si>
  <si>
    <t xml:space="preserve">Latin for 'by head'. The benefit is shared equally among surviving beneficiaries.</t>
  </si>
  <si>
    <t xml:space="preserve">Three surviving children split the benefit equally.</t>
  </si>
  <si>
    <t xml:space="preserve">per-stirpes, beneficiary</t>
  </si>
  <si>
    <t xml:space="preserve">Per Member Per Month</t>
  </si>
  <si>
    <t xml:space="preserve">PMPM</t>
  </si>
  <si>
    <t xml:space="preserve">A health plan measure of cost or revenue divided by members per month.</t>
  </si>
  <si>
    <t xml:space="preserve">Claims costs of $450 PMPM.</t>
  </si>
  <si>
    <t xml:space="preserve">per-risk-excess</t>
  </si>
  <si>
    <t xml:space="preserve">Per Risk Excess of Loss</t>
  </si>
  <si>
    <t xml:space="preserve">Excess of loss reinsurance that applies to each individual risk.</t>
  </si>
  <si>
    <t xml:space="preserve">Protects against a single large factory fire above $2M.</t>
  </si>
  <si>
    <t xml:space="preserve">excess-of-loss, catastrophe-excess-of-loss</t>
  </si>
  <si>
    <t xml:space="preserve">per-stirpes</t>
  </si>
  <si>
    <t xml:space="preserve">Per Stirpes</t>
  </si>
  <si>
    <t xml:space="preserve">Latin for 'by branch'. If a beneficiary dies first, their share goes to their own descendants.</t>
  </si>
  <si>
    <t xml:space="preserve">Your son dies before you; his share goes to his children.</t>
  </si>
  <si>
    <t xml:space="preserve">beneficiary, per-capita</t>
  </si>
  <si>
    <t xml:space="preserve">per-occurrence-limit</t>
  </si>
  <si>
    <t xml:space="preserve">Per-Occurrence Limit</t>
  </si>
  <si>
    <t xml:space="preserve">Each Occurrence Limit</t>
  </si>
  <si>
    <t xml:space="preserve">The most the insurer will pay for any single event, no matter how many claims come from it.</t>
  </si>
  <si>
    <t xml:space="preserve">A $1M each-occurrence limit caps payment for one warehouse fire even if five people sue.</t>
  </si>
  <si>
    <t xml:space="preserve">aggregate-limit, occurrence, limit-of-liability</t>
  </si>
  <si>
    <t xml:space="preserve">percentage-deductible</t>
  </si>
  <si>
    <t xml:space="preserve">Percentage Deductible</t>
  </si>
  <si>
    <t xml:space="preserve">A deductible set as a percentage of the insured value rather than a flat dollar amount.</t>
  </si>
  <si>
    <t xml:space="preserve">A 2% wind deductible on a $300,000 home is $6,000.</t>
  </si>
  <si>
    <t xml:space="preserve">deductible, hurricane-deductible</t>
  </si>
  <si>
    <t xml:space="preserve">Performance Bond</t>
  </si>
  <si>
    <t xml:space="preserve">A surety bond guaranteeing that a contractor will complete a project according to the contract.</t>
  </si>
  <si>
    <t xml:space="preserve">The surety finishes a project after the contractor fails.</t>
  </si>
  <si>
    <t xml:space="preserve">surety-bond, payment-bond, bid-bond, miller-act</t>
  </si>
  <si>
    <t xml:space="preserve">peril</t>
  </si>
  <si>
    <t xml:space="preserve">Peril</t>
  </si>
  <si>
    <t xml:space="preserve">A cause of loss, such as fire, wind, theft or flood.</t>
  </si>
  <si>
    <t xml:space="preserve">Fire and lightning are perils covered by most home policies.</t>
  </si>
  <si>
    <t xml:space="preserve">hazard, named-perils, open-perils, exclusion</t>
  </si>
  <si>
    <t xml:space="preserve">period-certain</t>
  </si>
  <si>
    <t xml:space="preserve">Period Certain</t>
  </si>
  <si>
    <t xml:space="preserve">A payout option guaranteeing payments for a set number of years even if the annuitant dies.</t>
  </si>
  <si>
    <t xml:space="preserve">10-year certain means heirs get payments until year 10.</t>
  </si>
  <si>
    <t xml:space="preserve">Period of Restoration</t>
  </si>
  <si>
    <t xml:space="preserve">The time from the damage until the property should reasonably be repaired, during which business income is paid.</t>
  </si>
  <si>
    <t xml:space="preserve">Rebuilding takes 5 months, so income is paid for 5 months.</t>
  </si>
  <si>
    <t xml:space="preserve">business-interruption-insurance, extended-period-of-indemnity</t>
  </si>
  <si>
    <t xml:space="preserve">permanent-life-insurance</t>
  </si>
  <si>
    <t xml:space="preserve">Permanent Life Insurance</t>
  </si>
  <si>
    <t xml:space="preserve">Cash Value Life Insurance</t>
  </si>
  <si>
    <t xml:space="preserve">Life insurance that lasts your whole life if premiums are paid and builds cash value.</t>
  </si>
  <si>
    <t xml:space="preserve">Whole life and universal life are permanent insurance.</t>
  </si>
  <si>
    <t xml:space="preserve">whole-life-insurance, universal-life-insurance, cash-value</t>
  </si>
  <si>
    <t xml:space="preserve">Permissive User</t>
  </si>
  <si>
    <t xml:space="preserve">Someone who drives your car with your permission and is generally covered by your policy.</t>
  </si>
  <si>
    <t xml:space="preserve">A friend borrows your car and crashes; your policy responds.</t>
  </si>
  <si>
    <t xml:space="preserve">named-insured, excluded-driver</t>
  </si>
  <si>
    <t xml:space="preserve">persistency</t>
  </si>
  <si>
    <t xml:space="preserve">Persistency</t>
  </si>
  <si>
    <t xml:space="preserve">The share of policies that remain in force over time; the opposite of lapse.</t>
  </si>
  <si>
    <t xml:space="preserve">13-month persistency of 90%.</t>
  </si>
  <si>
    <t xml:space="preserve">lapse-rate, retention-ratio</t>
  </si>
  <si>
    <t xml:space="preserve">Personal and Advertising Injury</t>
  </si>
  <si>
    <t xml:space="preserve">Coverage B (CGL)</t>
  </si>
  <si>
    <t xml:space="preserve">Liability for offenses like libel, slander, false arrest, privacy invasion and copying another's advertising idea.</t>
  </si>
  <si>
    <t xml:space="preserve">A competitor sues you for defamatory ads.</t>
  </si>
  <si>
    <t xml:space="preserve">personal-auto-policy</t>
  </si>
  <si>
    <t xml:space="preserve">Personal Auto Policy</t>
  </si>
  <si>
    <t xml:space="preserve">PAP; Car Insurance; Auto Insurance</t>
  </si>
  <si>
    <t xml:space="preserve">A policy covering your car and your liability for accidents.</t>
  </si>
  <si>
    <t xml:space="preserve">A policy for two cars and three drivers.</t>
  </si>
  <si>
    <t xml:space="preserve">bodily-injury-liability, property-damage-liability, collision-coverage, comprehensive-coverage</t>
  </si>
  <si>
    <t xml:space="preserve">Most states require minimum liability limits; New Hampshire doesn't mandate insurance for most drivers.</t>
  </si>
  <si>
    <t xml:space="preserve">personal-contract</t>
  </si>
  <si>
    <t xml:space="preserve">Personal Contract</t>
  </si>
  <si>
    <t xml:space="preserve">Property, Casualty/Liability, Motor</t>
  </si>
  <si>
    <t xml:space="preserve">Insurance covers a person, not a thing, so it generally can't be transferred without the insurer's consent.</t>
  </si>
  <si>
    <t xml:space="preserve">Selling your car does not transfer your auto policy to the buyer.</t>
  </si>
  <si>
    <t xml:space="preserve">Personal Injury Protection</t>
  </si>
  <si>
    <t xml:space="preserve">PIP</t>
  </si>
  <si>
    <t xml:space="preserve">Pays medical bills and lost wages for you and passengers regardless of who caused the accident.</t>
  </si>
  <si>
    <t xml:space="preserve">PIP pays $10,000 of your medical bills after a crash.</t>
  </si>
  <si>
    <t xml:space="preserve">no-fault-insurance, medical-payments-coverage</t>
  </si>
  <si>
    <t xml:space="preserve">Required in no-fault states like Florida, Michigan and New York.</t>
  </si>
  <si>
    <t xml:space="preserve">personal-liability-coverage</t>
  </si>
  <si>
    <t xml:space="preserve">Personal Liability Coverage</t>
  </si>
  <si>
    <t xml:space="preserve">Coverage E</t>
  </si>
  <si>
    <t xml:space="preserve">Covers you if you're legally responsible for injuring someone or damaging their property.</t>
  </si>
  <si>
    <t xml:space="preserve">A guest trips on your stairs and sues; Coverage E pays.</t>
  </si>
  <si>
    <t xml:space="preserve">medical-payments-to-others, liability</t>
  </si>
  <si>
    <t xml:space="preserve">Personal Lines</t>
  </si>
  <si>
    <t xml:space="preserve">Insurance for individuals and families, such as auto, homeowners and renters.</t>
  </si>
  <si>
    <t xml:space="preserve">Home and auto are the biggest personal lines.</t>
  </si>
  <si>
    <t xml:space="preserve">personal-property-coverage</t>
  </si>
  <si>
    <t xml:space="preserve">Personal Property Coverage</t>
  </si>
  <si>
    <t xml:space="preserve">Coverage C; Contents Coverage</t>
  </si>
  <si>
    <t xml:space="preserve">Covers your belongings like furniture, clothes and electronics.</t>
  </si>
  <si>
    <t xml:space="preserve">Coverage C pays for a stolen laptop.</t>
  </si>
  <si>
    <t xml:space="preserve">dwelling-coverage, scheduled-personal-property</t>
  </si>
  <si>
    <t xml:space="preserve">pet-insurance</t>
  </si>
  <si>
    <t xml:space="preserve">Pet Insurance</t>
  </si>
  <si>
    <t xml:space="preserve">Covers veterinary bills for pets due to accidents and illness.</t>
  </si>
  <si>
    <t xml:space="preserve">Pays 80% of a dog's $4,000 surgery.</t>
  </si>
  <si>
    <t xml:space="preserve">pre-existing-condition</t>
  </si>
  <si>
    <t xml:space="preserve">NAIC Pet Insurance Model Act adopted by several states.</t>
  </si>
  <si>
    <t xml:space="preserve">pharmacy-benefit-manager</t>
  </si>
  <si>
    <t xml:space="preserve">Pharmacy Benefit Manager</t>
  </si>
  <si>
    <t xml:space="preserve">PBM</t>
  </si>
  <si>
    <t xml:space="preserve">A company that manages prescription drug benefits for health plans, including formularies, pharmacy networks and pricing.</t>
  </si>
  <si>
    <t xml:space="preserve">A PBM processes your prescription at the pharmacy counter.</t>
  </si>
  <si>
    <t xml:space="preserve">Many states have passed PBM transparency laws.</t>
  </si>
  <si>
    <t xml:space="preserve">physical-hazard</t>
  </si>
  <si>
    <t xml:space="preserve">Physical Hazard</t>
  </si>
  <si>
    <t xml:space="preserve">A physical condition that increases the chance or size of a loss.</t>
  </si>
  <si>
    <t xml:space="preserve">Old knob-and-tube wiring in a house is a physical hazard.</t>
  </si>
  <si>
    <t xml:space="preserve">hazard, moral-hazard, morale-hazard</t>
  </si>
  <si>
    <t xml:space="preserve">plan-year</t>
  </si>
  <si>
    <t xml:space="preserve">Plan Year</t>
  </si>
  <si>
    <t xml:space="preserve">Benefit Year</t>
  </si>
  <si>
    <t xml:space="preserve">The 12-month period for health plan benefits, deductibles and out-of-pocket limits.</t>
  </si>
  <si>
    <t xml:space="preserve">Your deductible resets on January 1.</t>
  </si>
  <si>
    <t xml:space="preserve">deductible, out-of-pocket-maximum</t>
  </si>
  <si>
    <t xml:space="preserve">Policy Administration System</t>
  </si>
  <si>
    <t xml:space="preserve">PAS; Policy Admin System</t>
  </si>
  <si>
    <t xml:space="preserve">The core software an insurer uses to manage policies through quoting, issuing, changes, renewals and cancellations.</t>
  </si>
  <si>
    <t xml:space="preserve">Guidewire PolicyCenter or Duck Creek Policy used as PAS.</t>
  </si>
  <si>
    <t xml:space="preserve">rating-engine, billing-system, claims-management-system, product-configurator</t>
  </si>
  <si>
    <t xml:space="preserve">policy-anniversary</t>
  </si>
  <si>
    <t xml:space="preserve">Policy Anniversary</t>
  </si>
  <si>
    <t xml:space="preserve">The yearly date on which the policy began, when many values and premiums change.</t>
  </si>
  <si>
    <t xml:space="preserve">Your universal life cost of insurance updates on each policy anniversary.</t>
  </si>
  <si>
    <t xml:space="preserve">policy-delivery</t>
  </si>
  <si>
    <t xml:space="preserve">Policy Delivery</t>
  </si>
  <si>
    <t xml:space="preserve">Giving the policy to the policyholder, which may start the free look period.</t>
  </si>
  <si>
    <t xml:space="preserve">An agent delivers a life policy and gets a signed delivery receipt.</t>
  </si>
  <si>
    <t xml:space="preserve">issuance, free-look-period</t>
  </si>
  <si>
    <t xml:space="preserve">dividend</t>
  </si>
  <si>
    <t xml:space="preserve">Policy Dividend</t>
  </si>
  <si>
    <t xml:space="preserve">Dividend</t>
  </si>
  <si>
    <t xml:space="preserve">A return of part of the premium paid to owners of participating policies when the insurer does well. It is not guaranteed.</t>
  </si>
  <si>
    <t xml:space="preserve">A $600 dividend used to buy paid-up additions.</t>
  </si>
  <si>
    <t xml:space="preserve">participating-policy, paid-up-additions, mutual-insurance-company</t>
  </si>
  <si>
    <t xml:space="preserve">illustration</t>
  </si>
  <si>
    <t xml:space="preserve">Policy Illustration</t>
  </si>
  <si>
    <t xml:space="preserve">Illustration; Ledger</t>
  </si>
  <si>
    <t xml:space="preserve">A document projecting how a life policy's premiums, cash values and death benefits may change over time, showing guaranteed and non-guaranteed values.</t>
  </si>
  <si>
    <t xml:space="preserve">An illustration shows cash value at age 65 under current and guaranteed rates.</t>
  </si>
  <si>
    <t xml:space="preserve">indexed-universal-life, cash-value</t>
  </si>
  <si>
    <t xml:space="preserve">Governed by the NAIC Life Insurance Illustrations Model Regulation.</t>
  </si>
  <si>
    <t xml:space="preserve">policy-loan</t>
  </si>
  <si>
    <t xml:space="preserve">Policy Loan</t>
  </si>
  <si>
    <t xml:space="preserve">A loan from the insurer using your policy's cash value as security.</t>
  </si>
  <si>
    <t xml:space="preserve">You borrow $10,000 from your whole life policy.</t>
  </si>
  <si>
    <t xml:space="preserve">cash-value, automatic-premium-loan</t>
  </si>
  <si>
    <t xml:space="preserve">Unpaid loans reduce the death benefit; loans on MECs may be taxable.</t>
  </si>
  <si>
    <t xml:space="preserve">Policy Number</t>
  </si>
  <si>
    <t xml:space="preserve">A unique identifier assigned to a policy.</t>
  </si>
  <si>
    <t xml:space="preserve">Policy number HO-1234567 on your ID card.</t>
  </si>
  <si>
    <t xml:space="preserve">Declarations page, Insurance ID card</t>
  </si>
  <si>
    <t xml:space="preserve">policy-period</t>
  </si>
  <si>
    <t xml:space="preserve">Policy Period</t>
  </si>
  <si>
    <t xml:space="preserve">Policy Term</t>
  </si>
  <si>
    <t xml:space="preserve">The time span during which the policy is in force, from the effective date to the expiration date.</t>
  </si>
  <si>
    <t xml:space="preserve">12:01 a.m. January 1 to 12:01 a.m. January 1 next year.</t>
  </si>
  <si>
    <t xml:space="preserve">effective-date, expiration-date, renewal</t>
  </si>
  <si>
    <t xml:space="preserve">policy-reserve</t>
  </si>
  <si>
    <t xml:space="preserve">Policy Reserve</t>
  </si>
  <si>
    <t xml:space="preserve">Statutory Reserve</t>
  </si>
  <si>
    <t xml:space="preserve">Money a life insurer must hold to pay future benefits promised under its policies.</t>
  </si>
  <si>
    <t xml:space="preserve">Reserves required under principle-based reserving.</t>
  </si>
  <si>
    <t xml:space="preserve">reserves, principle-based-reserving</t>
  </si>
  <si>
    <t xml:space="preserve">policy-status</t>
  </si>
  <si>
    <t xml:space="preserve">Policy Status</t>
  </si>
  <si>
    <t xml:space="preserve">The current state of a policy in the system, such as quoted, bound, in force, cancelled, lapsed or expired.</t>
  </si>
  <si>
    <t xml:space="preserve">A policy moves from 'bound' to 'in force' on its effective date.</t>
  </si>
  <si>
    <t xml:space="preserve">policy-administration-system, in-force</t>
  </si>
  <si>
    <t xml:space="preserve">policy-territory</t>
  </si>
  <si>
    <t xml:space="preserve">Policy Territory</t>
  </si>
  <si>
    <t xml:space="preserve">Coverage Territory</t>
  </si>
  <si>
    <t xml:space="preserve">The geographic area where the policy provides coverage.</t>
  </si>
  <si>
    <t xml:space="preserve">A US auto policy covers the US, its territories and Canada.</t>
  </si>
  <si>
    <t xml:space="preserve">policy-year</t>
  </si>
  <si>
    <t xml:space="preserve">Policy Year</t>
  </si>
  <si>
    <t xml:space="preserve">Underwriting Year</t>
  </si>
  <si>
    <t xml:space="preserve">Grouping of losses and premium by the year the policy started.</t>
  </si>
  <si>
    <t xml:space="preserve">Losses on policies written in 2024.</t>
  </si>
  <si>
    <t xml:space="preserve">accident-year, calendar-year</t>
  </si>
  <si>
    <t xml:space="preserve">policyholder</t>
  </si>
  <si>
    <t xml:space="preserve">Policyholder</t>
  </si>
  <si>
    <t xml:space="preserve">Policyowner; Owner</t>
  </si>
  <si>
    <t xml:space="preserve">The person or organization that owns the insurance policy and controls it.</t>
  </si>
  <si>
    <t xml:space="preserve">A parent owns a life policy on their child; the parent is the policyholder.</t>
  </si>
  <si>
    <t xml:space="preserve">insured, beneficiary, named-insured</t>
  </si>
  <si>
    <t xml:space="preserve">policyholder-surplus</t>
  </si>
  <si>
    <t xml:space="preserve">Policyholders' Surplus</t>
  </si>
  <si>
    <t xml:space="preserve">Surplus; Capital and Surplus</t>
  </si>
  <si>
    <t xml:space="preserve">An insurer's assets minus liabilities under statutory accounting; the cushion that protects policyholders.</t>
  </si>
  <si>
    <t xml:space="preserve">An insurer with $2B surplus can absorb big losses.</t>
  </si>
  <si>
    <t xml:space="preserve">risk-based-capital, premium-to-surplus-ratio</t>
  </si>
  <si>
    <t xml:space="preserve">Pollution Exclusion</t>
  </si>
  <si>
    <t xml:space="preserve">Absolute Pollution Exclusion</t>
  </si>
  <si>
    <t xml:space="preserve">An exclusion removing coverage for injury or damage caused by pollutants.</t>
  </si>
  <si>
    <t xml:space="preserve">A chemical leak contaminating a river is not covered under a standard CGL.</t>
  </si>
  <si>
    <t xml:space="preserve">exclusion, environmental-impairment-liability</t>
  </si>
  <si>
    <t xml:space="preserve">Courts in different states interpret its scope differently.</t>
  </si>
  <si>
    <t xml:space="preserve">portability</t>
  </si>
  <si>
    <t xml:space="preserve">Portability</t>
  </si>
  <si>
    <t xml:space="preserve">The right to keep group coverage after leaving the group by paying premiums directly.</t>
  </si>
  <si>
    <t xml:space="preserve">You port your group life policy after changing jobs.</t>
  </si>
  <si>
    <t xml:space="preserve">conversion-right, cobra</t>
  </si>
  <si>
    <t xml:space="preserve">Portfolio</t>
  </si>
  <si>
    <t xml:space="preserve">A group of policies managed or analyzed together.</t>
  </si>
  <si>
    <t xml:space="preserve">An insurer's Florida homeowners portfolio.</t>
  </si>
  <si>
    <t xml:space="preserve">book-of-business, portfolio-transfer</t>
  </si>
  <si>
    <t xml:space="preserve">portfolio-transfer</t>
  </si>
  <si>
    <t xml:space="preserve">Portfolio Transfer</t>
  </si>
  <si>
    <t xml:space="preserve">Loss Portfolio Transfer; LPT</t>
  </si>
  <si>
    <t xml:space="preserve">Transferring a block of existing liabilities, such as old claims, to another insurer or reinsurer.</t>
  </si>
  <si>
    <t xml:space="preserve">An insurer transfers its asbestos reserves to a run-off specialist.</t>
  </si>
  <si>
    <t xml:space="preserve">run-off, adverse-development-cover</t>
  </si>
  <si>
    <t xml:space="preserve">pos-plan</t>
  </si>
  <si>
    <t xml:space="preserve">POS Plan</t>
  </si>
  <si>
    <t xml:space="preserve">Point of Service Plan</t>
  </si>
  <si>
    <t xml:space="preserve">A plan combining HMO and PPO features: a primary doctor and referrals, but some out-of-network coverage.</t>
  </si>
  <si>
    <t xml:space="preserve">You pay more to see out-of-network doctors with a referral.</t>
  </si>
  <si>
    <t xml:space="preserve">ppo</t>
  </si>
  <si>
    <t xml:space="preserve">PPO</t>
  </si>
  <si>
    <t xml:space="preserve">Preferred Provider Organization</t>
  </si>
  <si>
    <t xml:space="preserve">A health plan that lets you see any provider, paying less in-network, without needing referrals.</t>
  </si>
  <si>
    <t xml:space="preserve">You see an out-of-network specialist and pay 40% coinsurance.</t>
  </si>
  <si>
    <t xml:space="preserve">hmo, epo, pos-plan</t>
  </si>
  <si>
    <t xml:space="preserve">Pre-Existing Condition</t>
  </si>
  <si>
    <t xml:space="preserve">Life, Health, Specialty</t>
  </si>
  <si>
    <t xml:space="preserve">A health problem you had before your coverage started.</t>
  </si>
  <si>
    <t xml:space="preserve">Asthma diagnosed before buying a policy.</t>
  </si>
  <si>
    <t xml:space="preserve">affordable-care-act, medical-underwriting</t>
  </si>
  <si>
    <t xml:space="preserve">The ACA bans excluding pre-existing conditions in major medical plans; other products like travel or short-term plans may still exclude them.</t>
  </si>
  <si>
    <t xml:space="preserve">predictive-model</t>
  </si>
  <si>
    <t xml:space="preserve">Predictive Model</t>
  </si>
  <si>
    <t xml:space="preserve">Predictive Analytics</t>
  </si>
  <si>
    <t xml:space="preserve">A statistical or machine-learning model that uses data to predict outcomes like claims or lapses.</t>
  </si>
  <si>
    <t xml:space="preserve">A model predicts which auto claims are likely fraudulent.</t>
  </si>
  <si>
    <t xml:space="preserve">Underwriting system, Claims system</t>
  </si>
  <si>
    <t xml:space="preserve">generalized-linear-model, accelerated-underwriting</t>
  </si>
  <si>
    <t xml:space="preserve">Some states require filing models used in rating.</t>
  </si>
  <si>
    <t xml:space="preserve">premium</t>
  </si>
  <si>
    <t xml:space="preserve">Premium</t>
  </si>
  <si>
    <t xml:space="preserve">The amount you pay the insurer to keep your coverage in force. It can be paid all at once or in installments.</t>
  </si>
  <si>
    <t xml:space="preserve">Your auto policy costs $1,500 a year, paid as $125 each month.</t>
  </si>
  <si>
    <t xml:space="preserve">Declarations page, Quote, Billing statement</t>
  </si>
  <si>
    <t xml:space="preserve">rate, earned-premium, written-premium, grace-period</t>
  </si>
  <si>
    <t xml:space="preserve">Premium tax is charged by each state on premiums written there.</t>
  </si>
  <si>
    <t xml:space="preserve">premium-audit</t>
  </si>
  <si>
    <t xml:space="preserve">Premium Audit</t>
  </si>
  <si>
    <t xml:space="preserve">Audit</t>
  </si>
  <si>
    <t xml:space="preserve">A review after the policy ends of the insured's actual exposures, such as payroll or sales, to calculate the final premium.</t>
  </si>
  <si>
    <t xml:space="preserve">An audit finds payroll was higher than estimated, so you owe more premium.</t>
  </si>
  <si>
    <t xml:space="preserve">Billing statement, Policy administration system</t>
  </si>
  <si>
    <t xml:space="preserve">deposit-premium, rating-basis, auditable-policy</t>
  </si>
  <si>
    <t xml:space="preserve">premium-finance</t>
  </si>
  <si>
    <t xml:space="preserve">Premium Finance</t>
  </si>
  <si>
    <t xml:space="preserve">A loan from a finance company to pay an insurance premium, repaid in installments.</t>
  </si>
  <si>
    <t xml:space="preserve">A contractor finances a $60,000 premium over 10 months.</t>
  </si>
  <si>
    <t xml:space="preserve">Premium finance companies are licensed by states.</t>
  </si>
  <si>
    <t xml:space="preserve">premium-tax</t>
  </si>
  <si>
    <t xml:space="preserve">Premium Tax</t>
  </si>
  <si>
    <t xml:space="preserve">A state tax on insurance premiums written in that state, paid by the insurer.</t>
  </si>
  <si>
    <t xml:space="preserve">A 2% premium tax on all policies sold in a state.</t>
  </si>
  <si>
    <t xml:space="preserve">surplus-lines, state-department-of-insurance</t>
  </si>
  <si>
    <t xml:space="preserve">Rates generally range around 1–4% and differ by state and line.</t>
  </si>
  <si>
    <t xml:space="preserve">premium-tax-credit</t>
  </si>
  <si>
    <t xml:space="preserve">Premium Tax Credit</t>
  </si>
  <si>
    <t xml:space="preserve">APTC; Subsidy</t>
  </si>
  <si>
    <t xml:space="preserve">A federal tax credit that lowers monthly premiums for marketplace plans based on income.</t>
  </si>
  <si>
    <t xml:space="preserve">A family pays $150 instead of $900 a month thanks to APTC.</t>
  </si>
  <si>
    <t xml:space="preserve">health-insurance-marketplace, cost-sharing-reductions</t>
  </si>
  <si>
    <t xml:space="preserve">premium-to-surplus-ratio</t>
  </si>
  <si>
    <t xml:space="preserve">Premium-to-Surplus Ratio</t>
  </si>
  <si>
    <t xml:space="preserve">Leverage Ratio; Kenney Ratio</t>
  </si>
  <si>
    <t xml:space="preserve">Net written premium divided by policyholders' surplus; a measure of how much risk an insurer takes relative to its capital.</t>
  </si>
  <si>
    <t xml:space="preserve">$300M premium on $150M surplus gives 2:1.</t>
  </si>
  <si>
    <t xml:space="preserve">policyholder-surplus, capacity</t>
  </si>
  <si>
    <t xml:space="preserve">prevented-planting</t>
  </si>
  <si>
    <t xml:space="preserve">Prevented Planting</t>
  </si>
  <si>
    <t xml:space="preserve">Crop insurance payments when weather stops a farmer from planting by the final planting date.</t>
  </si>
  <si>
    <t xml:space="preserve">Flooded fields prevent corn planting.</t>
  </si>
  <si>
    <t xml:space="preserve">preventive-care</t>
  </si>
  <si>
    <t xml:space="preserve">Preventive Care</t>
  </si>
  <si>
    <t xml:space="preserve">Routine care like screenings, checkups and vaccines to prevent illness, often covered at no cost.</t>
  </si>
  <si>
    <t xml:space="preserve">A free annual flu shot and mammogram.</t>
  </si>
  <si>
    <t xml:space="preserve">The ACA requires in-network preventive services with no cost sharing.</t>
  </si>
  <si>
    <t xml:space="preserve">primary-beneficiary</t>
  </si>
  <si>
    <t xml:space="preserve">Primary Beneficiary</t>
  </si>
  <si>
    <t xml:space="preserve">The first person or entity in line to receive the death benefit.</t>
  </si>
  <si>
    <t xml:space="preserve">Your spouse is the primary beneficiary.</t>
  </si>
  <si>
    <t xml:space="preserve">beneficiary, contingent-beneficiary</t>
  </si>
  <si>
    <t xml:space="preserve">primary-care-physician</t>
  </si>
  <si>
    <t xml:space="preserve">Primary Care Physician</t>
  </si>
  <si>
    <t xml:space="preserve">PCP</t>
  </si>
  <si>
    <t xml:space="preserve">Your main doctor who provides basic care and, in many plans, coordinates referrals.</t>
  </si>
  <si>
    <t xml:space="preserve">You choose a family doctor as your PCP.</t>
  </si>
  <si>
    <t xml:space="preserve">hmo, referral-health</t>
  </si>
  <si>
    <t xml:space="preserve">primary-insurance</t>
  </si>
  <si>
    <t xml:space="preserve">Primary Insurance</t>
  </si>
  <si>
    <t xml:space="preserve">Health, Casualty/Liability, Motor, Commercial</t>
  </si>
  <si>
    <t xml:space="preserve">Insurance that pays first, before any other policy.</t>
  </si>
  <si>
    <t xml:space="preserve">Your auto liability is primary when you drive your own car.</t>
  </si>
  <si>
    <t xml:space="preserve">excess-insurance, other-insurance-clause, coordination-of-benefits</t>
  </si>
  <si>
    <t xml:space="preserve">principal</t>
  </si>
  <si>
    <t xml:space="preserve">Principal</t>
  </si>
  <si>
    <t xml:space="preserve">In surety, the party whose performance is guaranteed by the bond.</t>
  </si>
  <si>
    <t xml:space="preserve">The contractor is the principal on a performance bond.</t>
  </si>
  <si>
    <t xml:space="preserve">surety-bond, obligee, surety</t>
  </si>
  <si>
    <t xml:space="preserve">principle-based-reserving</t>
  </si>
  <si>
    <t xml:space="preserve">Principle-Based Reserving</t>
  </si>
  <si>
    <t xml:space="preserve">PBR; VM-20</t>
  </si>
  <si>
    <t xml:space="preserve">A US method of calculating life reserves using company-specific assumptions and scenarios instead of fixed formulas.</t>
  </si>
  <si>
    <t xml:space="preserve">An insurer calculates VM-20 reserves for its term portfolio.</t>
  </si>
  <si>
    <t xml:space="preserve">Adopted through the NAIC Valuation Manual beginning 2017.</t>
  </si>
  <si>
    <t xml:space="preserve">prior-acts-coverage</t>
  </si>
  <si>
    <t xml:space="preserve">Coverage for wrongful acts that occurred before the policy's start date, back to the retroactive date.</t>
  </si>
  <si>
    <t xml:space="preserve">An E&amp;O policy covers errors made in the last five years.</t>
  </si>
  <si>
    <t xml:space="preserve">retroactive-date, nose-coverage</t>
  </si>
  <si>
    <t xml:space="preserve">prior-approval</t>
  </si>
  <si>
    <t xml:space="preserve">Prior Approval</t>
  </si>
  <si>
    <t xml:space="preserve">A rating system where the regulator must approve rates before they can be used.</t>
  </si>
  <si>
    <t xml:space="preserve">California requires prior approval for home insurance rates.</t>
  </si>
  <si>
    <t xml:space="preserve">file-and-use, use-and-file, rate-filing</t>
  </si>
  <si>
    <t xml:space="preserve">prior-authorization</t>
  </si>
  <si>
    <t xml:space="preserve">Prior Authorization</t>
  </si>
  <si>
    <t xml:space="preserve">Pre-Authorization; Precertification</t>
  </si>
  <si>
    <t xml:space="preserve">Approval the health plan must give before certain services or drugs are covered.</t>
  </si>
  <si>
    <t xml:space="preserve">An MRI requires prior authorization.</t>
  </si>
  <si>
    <t xml:space="preserve">utilization-review, medical-necessity</t>
  </si>
  <si>
    <t xml:space="preserve">Many states and CMS have added rules to speed up prior authorization decisions.</t>
  </si>
  <si>
    <t xml:space="preserve">privacy-notice</t>
  </si>
  <si>
    <t xml:space="preserve">Privacy Notice</t>
  </si>
  <si>
    <t xml:space="preserve">A notice telling customers what personal information the insurer collects and shares.</t>
  </si>
  <si>
    <t xml:space="preserve">A privacy notice arrives with your new policy.</t>
  </si>
  <si>
    <t xml:space="preserve">pro-rata</t>
  </si>
  <si>
    <t xml:space="preserve">Pro Rata</t>
  </si>
  <si>
    <t xml:space="preserve">Latin for 'in proportion'. Something is divided or calculated in proportion to time or share.</t>
  </si>
  <si>
    <t xml:space="preserve">Cancel a $1,200 annual policy after 3 months and you get $900 back on a pro rata basis.</t>
  </si>
  <si>
    <t xml:space="preserve">pro-rata-cancellation, short-rate-cancellation, contribution</t>
  </si>
  <si>
    <t xml:space="preserve">pro-rata-cancellation</t>
  </si>
  <si>
    <t xml:space="preserve">Pro Rata Cancellation</t>
  </si>
  <si>
    <t xml:space="preserve">A cancellation where the refund is exactly proportional to the unused time.</t>
  </si>
  <si>
    <t xml:space="preserve">Cancel halfway through a $1,000 policy, get $500 back.</t>
  </si>
  <si>
    <t xml:space="preserve">short-rate-cancellation, pro-rata, return-premium</t>
  </si>
  <si>
    <t xml:space="preserve">Insurer-initiated cancellations are normally pro rata.</t>
  </si>
  <si>
    <t xml:space="preserve">Probable Maximum Loss</t>
  </si>
  <si>
    <t xml:space="preserve">PML</t>
  </si>
  <si>
    <t xml:space="preserve">Property, Commercial, Marine/Aviation/Transit, Reinsurance</t>
  </si>
  <si>
    <t xml:space="preserve">An estimate of the largest loss likely from a single event at a given probability.</t>
  </si>
  <si>
    <t xml:space="preserve">A 1-in-250-year PML of $1B for earthquake.</t>
  </si>
  <si>
    <t xml:space="preserve">catastrophe-model, exceedance-probability, maximum-foreseeable-loss</t>
  </si>
  <si>
    <t xml:space="preserve">producer</t>
  </si>
  <si>
    <t xml:space="preserve">Producer</t>
  </si>
  <si>
    <t xml:space="preserve">The regulatory term for anyone licensed to sell, solicit or negotiate insurance, including agents and brokers.</t>
  </si>
  <si>
    <t xml:space="preserve">A state licenses you as a property and casualty producer.</t>
  </si>
  <si>
    <t xml:space="preserve">insurance-agent, broker, producer-license</t>
  </si>
  <si>
    <t xml:space="preserve">Used in the NAIC Producer Licensing Model Act.</t>
  </si>
  <si>
    <t xml:space="preserve">Producer License</t>
  </si>
  <si>
    <t xml:space="preserve">Insurance License</t>
  </si>
  <si>
    <t xml:space="preserve">A state-issued license that allows a person to sell insurance in specific lines.</t>
  </si>
  <si>
    <t xml:space="preserve">You pass the life and health exam to get your license.</t>
  </si>
  <si>
    <t xml:space="preserve">producer, lines-of-authority, nipr</t>
  </si>
  <si>
    <t xml:space="preserve">Non-resident licenses are needed to sell in other states.</t>
  </si>
  <si>
    <t xml:space="preserve">product-configurator</t>
  </si>
  <si>
    <t xml:space="preserve">Product Configurator</t>
  </si>
  <si>
    <t xml:space="preserve">Product Definition Tool</t>
  </si>
  <si>
    <t xml:space="preserve">Software for defining insurance products (coverages, limits, rules, rates, forms) without custom coding.</t>
  </si>
  <si>
    <t xml:space="preserve">A product owner adds a new endorsement in the configurator.</t>
  </si>
  <si>
    <t xml:space="preserve">policy-administration-system, product-model</t>
  </si>
  <si>
    <t xml:space="preserve">product-liability-insurance</t>
  </si>
  <si>
    <t xml:space="preserve">Product Liability Insurance</t>
  </si>
  <si>
    <t xml:space="preserve">Covers claims that a product you made or sold caused injury or damage.</t>
  </si>
  <si>
    <t xml:space="preserve">A defective toaster starts a kitchen fire.</t>
  </si>
  <si>
    <t xml:space="preserve">products-completed-operations, product-recall-insurance, strict-liability</t>
  </si>
  <si>
    <t xml:space="preserve">product-model</t>
  </si>
  <si>
    <t xml:space="preserve">Product Model</t>
  </si>
  <si>
    <t xml:space="preserve">Product Definition</t>
  </si>
  <si>
    <t xml:space="preserve">A structured description of an insurance product's coverages, options, limits, deductibles, rules and forms used by systems.</t>
  </si>
  <si>
    <t xml:space="preserve">A homeowners product model with 20 coverages and 5 deductible options.</t>
  </si>
  <si>
    <t xml:space="preserve">product-configurator, coverage-code</t>
  </si>
  <si>
    <t xml:space="preserve">product-recall-insurance</t>
  </si>
  <si>
    <t xml:space="preserve">Product Recall Insurance</t>
  </si>
  <si>
    <t xml:space="preserve">Contaminated Products Insurance</t>
  </si>
  <si>
    <t xml:space="preserve">Covers costs of recalling products that are defective or contaminated.</t>
  </si>
  <si>
    <t xml:space="preserve">A food maker recalls peanut butter due to salmonella.</t>
  </si>
  <si>
    <t xml:space="preserve">products-completed-operations</t>
  </si>
  <si>
    <t xml:space="preserve">Products-Completed Operations</t>
  </si>
  <si>
    <t xml:space="preserve">PCO</t>
  </si>
  <si>
    <t xml:space="preserve">Liability for injury or damage caused by your products or finished work after it leaves your control.</t>
  </si>
  <si>
    <t xml:space="preserve">A deck you built collapses a year later.</t>
  </si>
  <si>
    <t xml:space="preserve">commercial-general-liability, product-liability-insurance, products-completed-operations-aggregate</t>
  </si>
  <si>
    <t xml:space="preserve">products-completed-operations-aggregate</t>
  </si>
  <si>
    <t xml:space="preserve">Products-Completed Operations Aggregate</t>
  </si>
  <si>
    <t xml:space="preserve">A separate annual aggregate limit for products-completed operations claims under a CGL.</t>
  </si>
  <si>
    <t xml:space="preserve">A $2M PCO aggregate separate from the general aggregate.</t>
  </si>
  <si>
    <t xml:space="preserve">aggregate-limit, products-completed-operations</t>
  </si>
  <si>
    <t xml:space="preserve">professional-liability-insurance</t>
  </si>
  <si>
    <t xml:space="preserve">Professional Liability Insurance</t>
  </si>
  <si>
    <t xml:space="preserve">Coverage for professionals like accountants, lawyers and consultants against claims of negligent services.</t>
  </si>
  <si>
    <t xml:space="preserve">A lawyer misses a filing deadline and is sued.</t>
  </si>
  <si>
    <t xml:space="preserve">errors-and-omissions-insurance, medical-malpractice-insurance</t>
  </si>
  <si>
    <t xml:space="preserve">profit-commission</t>
  </si>
  <si>
    <t xml:space="preserve">Profit Commission</t>
  </si>
  <si>
    <t xml:space="preserve">An extra commission paid to the cedent if the reinsured business is profitable.</t>
  </si>
  <si>
    <t xml:space="preserve">20% of profits returned to the ceding company.</t>
  </si>
  <si>
    <t xml:space="preserve">program-administrator</t>
  </si>
  <si>
    <t xml:space="preserve">Program Administrator</t>
  </si>
  <si>
    <t xml:space="preserve">A firm that runs an insurance program for a niche class under delegated authority.</t>
  </si>
  <si>
    <t xml:space="preserve">A program administrator for youth sports leagues.</t>
  </si>
  <si>
    <t xml:space="preserve">program-business, managing-general-agent</t>
  </si>
  <si>
    <t xml:space="preserve">program-business</t>
  </si>
  <si>
    <t xml:space="preserve">Program Business</t>
  </si>
  <si>
    <t xml:space="preserve">Insurance for a specific niche class, like dentists or landscapers, managed by an MGA under a carrier's paper.</t>
  </si>
  <si>
    <t xml:space="preserve">A program insuring 5,000 craft breweries.</t>
  </si>
  <si>
    <t xml:space="preserve">managing-general-agent, program-administrator</t>
  </si>
  <si>
    <t xml:space="preserve">prompt-pay-law</t>
  </si>
  <si>
    <t xml:space="preserve">Prompt Pay Law</t>
  </si>
  <si>
    <t xml:space="preserve">Health, Property, Motor</t>
  </si>
  <si>
    <t xml:space="preserve">A state law setting deadlines by which insurers must pay or respond to claims.</t>
  </si>
  <si>
    <t xml:space="preserve">A health insurer must pay a clean claim within 30 days.</t>
  </si>
  <si>
    <t xml:space="preserve">unfair-claims-settlement-practices, clean-claim</t>
  </si>
  <si>
    <t xml:space="preserve">Deadlines vary by state and line.</t>
  </si>
  <si>
    <t xml:space="preserve">proof-of-loss</t>
  </si>
  <si>
    <t xml:space="preserve">Proof of Loss</t>
  </si>
  <si>
    <t xml:space="preserve">Sworn Statement in Proof of Loss</t>
  </si>
  <si>
    <t xml:space="preserve">A formal, often sworn, statement of the amount and details of your claim.</t>
  </si>
  <si>
    <t xml:space="preserve">You sign a proof of loss for $42,000 in fire damage.</t>
  </si>
  <si>
    <t xml:space="preserve">notice-of-loss, claim</t>
  </si>
  <si>
    <t xml:space="preserve">NFIP flood claims require a proof of loss within 60 days unless extended.</t>
  </si>
  <si>
    <t xml:space="preserve">property-and-casualty</t>
  </si>
  <si>
    <t xml:space="preserve">Property and Casualty</t>
  </si>
  <si>
    <t xml:space="preserve">P&amp;C; General Insurance</t>
  </si>
  <si>
    <t xml:space="preserve">The branch of insurance covering property damage and liability, as opposed to life and health.</t>
  </si>
  <si>
    <t xml:space="preserve">Auto and home insurers are P&amp;C insurers.</t>
  </si>
  <si>
    <t xml:space="preserve">life-insurance, personal-lines, commercial-lines</t>
  </si>
  <si>
    <t xml:space="preserve">property-damage</t>
  </si>
  <si>
    <t xml:space="preserve">Property Damage</t>
  </si>
  <si>
    <t xml:space="preserve">Physical damage to tangible property, including loss of its use.</t>
  </si>
  <si>
    <t xml:space="preserve">Your employee damages a client's floor.</t>
  </si>
  <si>
    <t xml:space="preserve">bodily-injury, property-damage-liability</t>
  </si>
  <si>
    <t xml:space="preserve">property-damage-liability</t>
  </si>
  <si>
    <t xml:space="preserve">Property Damage Liability</t>
  </si>
  <si>
    <t xml:space="preserve">PD</t>
  </si>
  <si>
    <t xml:space="preserve">Pays for damage you cause to other people's property.</t>
  </si>
  <si>
    <t xml:space="preserve">You hit a fence; PD pays to fix it.</t>
  </si>
  <si>
    <t xml:space="preserve">bodily-injury-liability, split-limits</t>
  </si>
  <si>
    <t xml:space="preserve">proportional-reinsurance</t>
  </si>
  <si>
    <t xml:space="preserve">Proportional Reinsurance</t>
  </si>
  <si>
    <t xml:space="preserve">Pro Rata Reinsurance</t>
  </si>
  <si>
    <t xml:space="preserve">The reinsurer takes an agreed share of premium and losses.</t>
  </si>
  <si>
    <t xml:space="preserve">A 50% share of every premium and every loss.</t>
  </si>
  <si>
    <t xml:space="preserve">quota-share, surplus-treaty, non-proportional-reinsurance</t>
  </si>
  <si>
    <t xml:space="preserve">protected-health-information</t>
  </si>
  <si>
    <t xml:space="preserve">Protected Health Information</t>
  </si>
  <si>
    <t xml:space="preserve">PHI</t>
  </si>
  <si>
    <t xml:space="preserve">Health information that can identify a person, protected under HIPAA.</t>
  </si>
  <si>
    <t xml:space="preserve">A claim with your name and diagnosis is PHI.</t>
  </si>
  <si>
    <t xml:space="preserve">hipaa, business-associate-agreement</t>
  </si>
  <si>
    <t xml:space="preserve">Protection and Indemnity</t>
  </si>
  <si>
    <t xml:space="preserve">P&amp;I</t>
  </si>
  <si>
    <t xml:space="preserve">Marine liability coverage for shipowners, including crew injury, pollution and collision liabilities, often from mutual P&amp;I clubs.</t>
  </si>
  <si>
    <t xml:space="preserve">A P&amp;I club pays for an oil spill cleanup.</t>
  </si>
  <si>
    <t xml:space="preserve">ocean-marine-insurance, jones-act</t>
  </si>
  <si>
    <t xml:space="preserve">protection-class</t>
  </si>
  <si>
    <t xml:space="preserve">Protection Class</t>
  </si>
  <si>
    <t xml:space="preserve">PPC; Public Protection Classification</t>
  </si>
  <si>
    <t xml:space="preserve">A 1 to 10 rating by ISO of a community's fire protection, used in property pricing.</t>
  </si>
  <si>
    <t xml:space="preserve">A home in protection class 3 pays less than one in class 9.</t>
  </si>
  <si>
    <t xml:space="preserve">cope, territory</t>
  </si>
  <si>
    <t xml:space="preserve">Provider Network</t>
  </si>
  <si>
    <t xml:space="preserve">Network</t>
  </si>
  <si>
    <t xml:space="preserve">The group of doctors, hospitals and other providers a health plan contracts with.</t>
  </si>
  <si>
    <t xml:space="preserve">An HMO's network covers local hospitals only.</t>
  </si>
  <si>
    <t xml:space="preserve">in-network, hmo, ppo, narrow-network</t>
  </si>
  <si>
    <t xml:space="preserve">proximate-cause</t>
  </si>
  <si>
    <t xml:space="preserve">Proximate Cause</t>
  </si>
  <si>
    <t xml:space="preserve">Dominant Cause</t>
  </si>
  <si>
    <t xml:space="preserve">The main or most direct cause of a loss, used to decide whether the loss is covered.</t>
  </si>
  <si>
    <t xml:space="preserve">A storm knocks down a power line that starts a fire; the storm may be treated as the proximate cause.</t>
  </si>
  <si>
    <t xml:space="preserve">peril, exclusion, concurrent-causation, anti-concurrent-causation-clause</t>
  </si>
  <si>
    <t xml:space="preserve">public-adjuster</t>
  </si>
  <si>
    <t xml:space="preserve">Public Adjuster</t>
  </si>
  <si>
    <t xml:space="preserve">PA</t>
  </si>
  <si>
    <t xml:space="preserve">A licensed adjuster hired by the policyholder, not the insurer, to negotiate a claim for a percentage fee.</t>
  </si>
  <si>
    <t xml:space="preserve">A business hires a public adjuster for 10% of the settlement.</t>
  </si>
  <si>
    <t xml:space="preserve">claims-adjuster, appraisal-clause</t>
  </si>
  <si>
    <t xml:space="preserve">Licensed and fee-capped by state; some states cap fees after catastrophes.</t>
  </si>
  <si>
    <t xml:space="preserve">punitive-damages</t>
  </si>
  <si>
    <t xml:space="preserve">Punitive Damages</t>
  </si>
  <si>
    <t xml:space="preserve">Exemplary Damages</t>
  </si>
  <si>
    <t xml:space="preserve">Extra money a court awards to punish especially bad behavior, not to repay a loss.</t>
  </si>
  <si>
    <t xml:space="preserve">A company that knowingly hid a product defect is ordered to pay $5M in punitive damages.</t>
  </si>
  <si>
    <t xml:space="preserve">damages, compensatory-damages</t>
  </si>
  <si>
    <t xml:space="preserve">Whether insurance may pay punitive damages varies by state; some states prohibit it as against public policy.</t>
  </si>
  <si>
    <t xml:space="preserve">purchasing-group</t>
  </si>
  <si>
    <t xml:space="preserve">Purchasing Group</t>
  </si>
  <si>
    <t xml:space="preserve">Casualty/Liability, Alternative Risk Transfer</t>
  </si>
  <si>
    <t xml:space="preserve">A group of similar businesses that buy liability insurance together to get better terms.</t>
  </si>
  <si>
    <t xml:space="preserve">A group of daycare centers jointly buying liability insurance.</t>
  </si>
  <si>
    <t xml:space="preserve">risk-retention-group</t>
  </si>
  <si>
    <t xml:space="preserve">pure-premium</t>
  </si>
  <si>
    <t xml:space="preserve">Expected losses divided by exposures; the amount needed to pay claims only.</t>
  </si>
  <si>
    <t xml:space="preserve">Total losses of $1M over 10,000 car-years gives a pure premium of $100.</t>
  </si>
  <si>
    <t xml:space="preserve">loss-cost, frequency, severity</t>
  </si>
  <si>
    <t xml:space="preserve">pure-risk</t>
  </si>
  <si>
    <t xml:space="preserve">Pure Risk</t>
  </si>
  <si>
    <t xml:space="preserve">A risk where only a loss or no loss can happen, with no chance of gain. Only pure risks are normally insurable.</t>
  </si>
  <si>
    <t xml:space="preserve">The chance your house burns down is a pure risk.</t>
  </si>
  <si>
    <t xml:space="preserve">speculative-risk, insurable-risk</t>
  </si>
  <si>
    <t xml:space="preserve">Qualified Annuity</t>
  </si>
  <si>
    <t xml:space="preserve">An annuity funded with pre-tax retirement money such as an IRA or 401(k).</t>
  </si>
  <si>
    <t xml:space="preserve">Rolling a 401(k) into an IRA annuity.</t>
  </si>
  <si>
    <t xml:space="preserve">non-qualified-annuity, required-minimum-distribution</t>
  </si>
  <si>
    <t xml:space="preserve">qualifying-life-event</t>
  </si>
  <si>
    <t xml:space="preserve">Qualifying Life Event</t>
  </si>
  <si>
    <t xml:space="preserve">QLE</t>
  </si>
  <si>
    <t xml:space="preserve">A change such as marriage, birth, moving or losing coverage that allows a special enrollment.</t>
  </si>
  <si>
    <t xml:space="preserve">Having a baby is a qualifying life event.</t>
  </si>
  <si>
    <t xml:space="preserve">special-enrollment-period</t>
  </si>
  <si>
    <t xml:space="preserve">quota-share</t>
  </si>
  <si>
    <t xml:space="preserve">Quota Share</t>
  </si>
  <si>
    <t xml:space="preserve">A proportional treaty where the reinsurer takes a fixed percentage of every policy's premium and losses.</t>
  </si>
  <si>
    <t xml:space="preserve">A 25% quota share cedes one-quarter of all premiums and claims.</t>
  </si>
  <si>
    <t xml:space="preserve">proportional-reinsurance, ceding-commission</t>
  </si>
  <si>
    <t xml:space="preserve">quote</t>
  </si>
  <si>
    <t xml:space="preserve">Quotation; Indication</t>
  </si>
  <si>
    <t xml:space="preserve">An offer from an insurer showing the price and terms at which it would provide coverage.</t>
  </si>
  <si>
    <t xml:space="preserve">An online auto quote of $98 per month.</t>
  </si>
  <si>
    <t xml:space="preserve">Quote, Policy administration system</t>
  </si>
  <si>
    <t xml:space="preserve">application, binding, indication, rating-engine</t>
  </si>
  <si>
    <t xml:space="preserve">quote-to-bind-ratio</t>
  </si>
  <si>
    <t xml:space="preserve">Quote-to-Bind Ratio</t>
  </si>
  <si>
    <t xml:space="preserve">Hit Ratio; Conversion Rate</t>
  </si>
  <si>
    <t xml:space="preserve">The share of quotes that become bound policies.</t>
  </si>
  <si>
    <t xml:space="preserve">100 quotes, 25 bound: a 25% hit ratio.</t>
  </si>
  <si>
    <t xml:space="preserve">quote, binding</t>
  </si>
  <si>
    <t xml:space="preserve">ransomware</t>
  </si>
  <si>
    <t xml:space="preserve">Ransomware</t>
  </si>
  <si>
    <t xml:space="preserve">Cyber Extortion</t>
  </si>
  <si>
    <t xml:space="preserve">Malicious software that locks data until a ransom is paid; cyber policies may cover extortion costs.</t>
  </si>
  <si>
    <t xml:space="preserve">A hospital's systems are encrypted and attackers demand bitcoin.</t>
  </si>
  <si>
    <t xml:space="preserve">cyber-insurance, ofac</t>
  </si>
  <si>
    <t xml:space="preserve">OFAC warns payments to sanctioned actors are prohibited.</t>
  </si>
  <si>
    <t xml:space="preserve">rate</t>
  </si>
  <si>
    <t xml:space="preserve">Rate</t>
  </si>
  <si>
    <t xml:space="preserve">The price per unit of exposure used to calculate the premium.</t>
  </si>
  <si>
    <t xml:space="preserve">A rate of $0.50 per $100 of property value on a $300,000 building gives $1,500.</t>
  </si>
  <si>
    <t xml:space="preserve">premium, exposure, rate-filing, base-rate</t>
  </si>
  <si>
    <t xml:space="preserve">rate-adequacy</t>
  </si>
  <si>
    <t xml:space="preserve">Rate Adequacy</t>
  </si>
  <si>
    <t xml:space="preserve">Whether rates are high enough to cover expected losses, expenses and a reasonable profit.</t>
  </si>
  <si>
    <t xml:space="preserve">An actuary finds rates are 8% inadequate.</t>
  </si>
  <si>
    <t xml:space="preserve">Rating engine, Financial statements</t>
  </si>
  <si>
    <t xml:space="preserve">rate-filing, rate-indication</t>
  </si>
  <si>
    <t xml:space="preserve">rate-filing</t>
  </si>
  <si>
    <t xml:space="preserve">Rate Filing</t>
  </si>
  <si>
    <t xml:space="preserve">Submitting proposed rates and rating rules to a state regulator.</t>
  </si>
  <si>
    <t xml:space="preserve">An insurer files a 9% auto rate increase in Texas.</t>
  </si>
  <si>
    <t xml:space="preserve">prior-approval, file-and-use, serff</t>
  </si>
  <si>
    <t xml:space="preserve">rate-indication</t>
  </si>
  <si>
    <t xml:space="preserve">Rate Indication</t>
  </si>
  <si>
    <t xml:space="preserve">Indicated Rate Change</t>
  </si>
  <si>
    <t xml:space="preserve">The actuarially calculated rate change needed to reach target profitability.</t>
  </si>
  <si>
    <t xml:space="preserve">The indication calls for +12%, but the insurer files +7%.</t>
  </si>
  <si>
    <t xml:space="preserve">rate-adequacy, rate-filing</t>
  </si>
  <si>
    <t xml:space="preserve">rate-table</t>
  </si>
  <si>
    <t xml:space="preserve">Rate Table</t>
  </si>
  <si>
    <t xml:space="preserve">Rating Table</t>
  </si>
  <si>
    <t xml:space="preserve">A table of rates or factors looked up by the rating engine, such as factors by age or territory.</t>
  </si>
  <si>
    <t xml:space="preserve">A lookup table of territory factors by ZIP code.</t>
  </si>
  <si>
    <t xml:space="preserve">rating-engine, rating-factor</t>
  </si>
  <si>
    <t xml:space="preserve">rate-version</t>
  </si>
  <si>
    <t xml:space="preserve">Rate Version</t>
  </si>
  <si>
    <t xml:space="preserve">Rate Edition; Effective Rate Date</t>
  </si>
  <si>
    <t xml:space="preserve">A specific set of rates identified by effective date and state, so the system applies the correct rates to each policy.</t>
  </si>
  <si>
    <t xml:space="preserve">New business on or after 7/1 uses rate version 2025-07.</t>
  </si>
  <si>
    <t xml:space="preserve">rate-filing, rating-engine</t>
  </si>
  <si>
    <t xml:space="preserve">States may require separate new-business and renewal effective dates.</t>
  </si>
  <si>
    <t xml:space="preserve">rating-algorithm</t>
  </si>
  <si>
    <t xml:space="preserve">Rating Algorithm</t>
  </si>
  <si>
    <t xml:space="preserve">The step-by-step formula that combines base rates and factors to calculate the premium.</t>
  </si>
  <si>
    <t xml:space="preserve">Premium = base rate × territory × age × vehicle × discounts.</t>
  </si>
  <si>
    <t xml:space="preserve">rating-engine, base-rate, rating-factor</t>
  </si>
  <si>
    <t xml:space="preserve">Filed with state regulators as part of rate filings.</t>
  </si>
  <si>
    <t xml:space="preserve">rating-basis</t>
  </si>
  <si>
    <t xml:space="preserve">Rating Basis</t>
  </si>
  <si>
    <t xml:space="preserve">The measure an insurer uses to price a policy, such as payroll, sales, area or units.</t>
  </si>
  <si>
    <t xml:space="preserve">General liability for a restaurant may be rated on gross sales.</t>
  </si>
  <si>
    <t xml:space="preserve">exposure, premium-audit</t>
  </si>
  <si>
    <t xml:space="preserve">rating-engine</t>
  </si>
  <si>
    <t xml:space="preserve">Rating Engine</t>
  </si>
  <si>
    <t xml:space="preserve">Software that calculates premiums by applying rates, factors and rules to a risk's details.</t>
  </si>
  <si>
    <t xml:space="preserve">A rating engine returns a $1,234 auto premium from 40 inputs.</t>
  </si>
  <si>
    <t xml:space="preserve">rating-algorithm, policy-administration-system, rate</t>
  </si>
  <si>
    <t xml:space="preserve">Rating Factor</t>
  </si>
  <si>
    <t xml:space="preserve">Rating Variable</t>
  </si>
  <si>
    <t xml:space="preserve">A characteristic used to adjust the premium, such as age, location or claims history.</t>
  </si>
  <si>
    <t xml:space="preserve">Living in a city increases the territory rating factor for auto insurance.</t>
  </si>
  <si>
    <t xml:space="preserve">base-rate, rating-algorithm, territory</t>
  </si>
  <si>
    <t xml:space="preserve">Some states ban or limit factors such as credit score, gender or occupation.</t>
  </si>
  <si>
    <t xml:space="preserve">reasonable-expectations-doctrine</t>
  </si>
  <si>
    <t xml:space="preserve">Reasonable Expectations Doctrine</t>
  </si>
  <si>
    <t xml:space="preserve">A rule in some courts that honors the coverage an ordinary policyholder would reasonably expect, even if the fine print says otherwise.</t>
  </si>
  <si>
    <t xml:space="preserve">A court finds a policyholder reasonably expected water damage coverage.</t>
  </si>
  <si>
    <t xml:space="preserve">Adopted in varying forms by some states only.</t>
  </si>
  <si>
    <t xml:space="preserve">rebating</t>
  </si>
  <si>
    <t xml:space="preserve">Rebating</t>
  </si>
  <si>
    <t xml:space="preserve">Giving a customer part of the commission or something of value to get them to buy a policy.</t>
  </si>
  <si>
    <t xml:space="preserve">An agent offers $200 cash back to buy a policy.</t>
  </si>
  <si>
    <t xml:space="preserve">unfair-trade-practices, commission</t>
  </si>
  <si>
    <t xml:space="preserve">Illegal or restricted in most states, though many now allow small gifts or value-added services.</t>
  </si>
  <si>
    <t xml:space="preserve">receivership</t>
  </si>
  <si>
    <t xml:space="preserve">Receivership</t>
  </si>
  <si>
    <t xml:space="preserve">Rehabilitation; Liquidation</t>
  </si>
  <si>
    <t xml:space="preserve">A court process where the state regulator takes control of a troubled insurer to fix or wind it down.</t>
  </si>
  <si>
    <t xml:space="preserve">A regulator places an insurer in liquidation.</t>
  </si>
  <si>
    <t xml:space="preserve">insolvency, guaranty-fund</t>
  </si>
  <si>
    <t xml:space="preserve">Reciprocal Insurance Exchange</t>
  </si>
  <si>
    <t xml:space="preserve">Reciprocal; Interinsurance Exchange</t>
  </si>
  <si>
    <t xml:space="preserve">An unincorporated group of members who insure each other, managed by an attorney-in-fact.</t>
  </si>
  <si>
    <t xml:space="preserve">USAA and Erie Insurance Exchange are reciprocals.</t>
  </si>
  <si>
    <t xml:space="preserve">attorney-in-fact, mutual-insurance-company</t>
  </si>
  <si>
    <t xml:space="preserve">recorded-statement</t>
  </si>
  <si>
    <t xml:space="preserve">Recorded Statement</t>
  </si>
  <si>
    <t xml:space="preserve">An interview recorded by the adjuster about how a loss happened.</t>
  </si>
  <si>
    <t xml:space="preserve">The adjuster records your account of the crash.</t>
  </si>
  <si>
    <t xml:space="preserve">claim-investigation, examination-under-oath</t>
  </si>
  <si>
    <t xml:space="preserve">recoverable-depreciation</t>
  </si>
  <si>
    <t xml:space="preserve">Recoverable Depreciation</t>
  </si>
  <si>
    <t xml:space="preserve">Holdback</t>
  </si>
  <si>
    <t xml:space="preserve">The depreciation amount held back on a replacement cost claim, paid once you actually repair or replace the item.</t>
  </si>
  <si>
    <t xml:space="preserve">The insurer pays $6,000 ACV now and the remaining $4,000 after the new roof is installed.</t>
  </si>
  <si>
    <t xml:space="preserve">replacement-cost, actual-cash-value, depreciation</t>
  </si>
  <si>
    <t xml:space="preserve">recovery</t>
  </si>
  <si>
    <t xml:space="preserve">Recovery</t>
  </si>
  <si>
    <t xml:space="preserve">Recoveries</t>
  </si>
  <si>
    <t xml:space="preserve">Money the insurer gets back after paying a claim, through subrogation, salvage or reinsurance.</t>
  </si>
  <si>
    <t xml:space="preserve">A $4,000 subrogation recovery from another insurer.</t>
  </si>
  <si>
    <t xml:space="preserve">subrogation, salvage</t>
  </si>
  <si>
    <t xml:space="preserve">reduced-paid-up</t>
  </si>
  <si>
    <t xml:space="preserve">Reduced Paid-Up Insurance</t>
  </si>
  <si>
    <t xml:space="preserve">RPU</t>
  </si>
  <si>
    <t xml:space="preserve">A nonforfeiture option that uses cash value to buy a smaller fully paid policy.</t>
  </si>
  <si>
    <t xml:space="preserve">Your $100,000 policy becomes $35,000 with no more premiums.</t>
  </si>
  <si>
    <t xml:space="preserve">referral</t>
  </si>
  <si>
    <t xml:space="preserve">Referral</t>
  </si>
  <si>
    <t xml:space="preserve">Refer</t>
  </si>
  <si>
    <t xml:space="preserve">Sending a risk to a senior underwriter or other team for approval because it falls outside normal rules or authority.</t>
  </si>
  <si>
    <t xml:space="preserve">The rating engine refers an applicant with three recent claims.</t>
  </si>
  <si>
    <t xml:space="preserve">underwriting-authority, straight-through-processing, underwriting-rules-engine</t>
  </si>
  <si>
    <t xml:space="preserve">referral-health</t>
  </si>
  <si>
    <t xml:space="preserve">Referral (Health)</t>
  </si>
  <si>
    <t xml:space="preserve">Approval from your primary care doctor to see a specialist, required by some plans.</t>
  </si>
  <si>
    <t xml:space="preserve">Your HMO needs a referral before a cardiology visit.</t>
  </si>
  <si>
    <t xml:space="preserve">hmo, primary-care-physician, prior-authorization</t>
  </si>
  <si>
    <t xml:space="preserve">registered-index-linked-annuity</t>
  </si>
  <si>
    <t xml:space="preserve">Registered Index-Linked Annuity</t>
  </si>
  <si>
    <t xml:space="preserve">RILA; Buffered Annuity</t>
  </si>
  <si>
    <t xml:space="preserve">An annuity linked to an index that offers more upside than an FIA but shares losses beyond a buffer.</t>
  </si>
  <si>
    <t xml:space="preserve">A 10% buffer absorbs the first 10% of losses.</t>
  </si>
  <si>
    <t xml:space="preserve">fixed-indexed-annuity, variable-annuity</t>
  </si>
  <si>
    <t xml:space="preserve">SEC-registered product.</t>
  </si>
  <si>
    <t xml:space="preserve">reinstatement</t>
  </si>
  <si>
    <t xml:space="preserve">Reinstatement</t>
  </si>
  <si>
    <t xml:space="preserve">Restoring a lapsed or cancelled policy, sometimes with conditions such as proof of insurability.</t>
  </si>
  <si>
    <t xml:space="preserve">You reinstate your life policy within 3 years by paying back premiums and showing good health.</t>
  </si>
  <si>
    <t xml:space="preserve">lapse, grace-period</t>
  </si>
  <si>
    <t xml:space="preserve">reinstatement-premium</t>
  </si>
  <si>
    <t xml:space="preserve">Reinstatement Premium</t>
  </si>
  <si>
    <t xml:space="preserve">Premium paid to restore a reinsurance limit after it has been used by a loss.</t>
  </si>
  <si>
    <t xml:space="preserve">After a hurricane uses the limit, the insurer pays to reinstate it for a second event.</t>
  </si>
  <si>
    <t xml:space="preserve">Insurance for Insurers</t>
  </si>
  <si>
    <t xml:space="preserve">Insurance bought by insurers to protect themselves against large or numerous losses.</t>
  </si>
  <si>
    <t xml:space="preserve">A Florida home insurer buys reinsurance for hurricane losses above $50M.</t>
  </si>
  <si>
    <t xml:space="preserve">ceding-company, reinsurer, treaty-reinsurance, facultative-reinsurance</t>
  </si>
  <si>
    <t xml:space="preserve">US reinsurance is regulated through ceding insurers' credit-for-reinsurance rules.</t>
  </si>
  <si>
    <t xml:space="preserve">reinsurance-broker</t>
  </si>
  <si>
    <t xml:space="preserve">Reinsurance Broker</t>
  </si>
  <si>
    <t xml:space="preserve">Reinsurance Intermediary</t>
  </si>
  <si>
    <t xml:space="preserve">A broker who arranges reinsurance between insurers and reinsurers.</t>
  </si>
  <si>
    <t xml:space="preserve">A broker places a $1B catastrophe program across 30 reinsurers.</t>
  </si>
  <si>
    <t xml:space="preserve">broker, reinsurance</t>
  </si>
  <si>
    <t xml:space="preserve">reinsurer</t>
  </si>
  <si>
    <t xml:space="preserve">Reinsurer</t>
  </si>
  <si>
    <t xml:space="preserve">Assuming Company</t>
  </si>
  <si>
    <t xml:space="preserve">The company that accepts risk from an insurer in a reinsurance deal.</t>
  </si>
  <si>
    <t xml:space="preserve">Munich Re takes part of a US insurer's catastrophe risk.</t>
  </si>
  <si>
    <t xml:space="preserve">reinsurance, ceding-company</t>
  </si>
  <si>
    <t xml:space="preserve">release</t>
  </si>
  <si>
    <t xml:space="preserve">Release</t>
  </si>
  <si>
    <t xml:space="preserve">Release of Claims</t>
  </si>
  <si>
    <t xml:space="preserve">A signed document where a claimant gives up further claims in exchange for payment.</t>
  </si>
  <si>
    <t xml:space="preserve">An injured driver signs a release after accepting $25,000.</t>
  </si>
  <si>
    <t xml:space="preserve">renewal</t>
  </si>
  <si>
    <t xml:space="preserve">Renewal</t>
  </si>
  <si>
    <t xml:space="preserve">Continuing a policy for another term, often with updated price or terms.</t>
  </si>
  <si>
    <t xml:space="preserve">Your auto policy renews every six months.</t>
  </si>
  <si>
    <t xml:space="preserve">non-renewal, expiration-date, renewal-offer</t>
  </si>
  <si>
    <t xml:space="preserve">renewal-offer</t>
  </si>
  <si>
    <t xml:space="preserve">Renewal Offer</t>
  </si>
  <si>
    <t xml:space="preserve">Renewal Notice</t>
  </si>
  <si>
    <t xml:space="preserve">Notice from the insurer of the price and terms for the next policy term.</t>
  </si>
  <si>
    <t xml:space="preserve">You receive a renewal offer 45 days before expiration.</t>
  </si>
  <si>
    <t xml:space="preserve">renewal, conditional-renewal</t>
  </si>
  <si>
    <t xml:space="preserve">rental-reimbursement</t>
  </si>
  <si>
    <t xml:space="preserve">Rental Reimbursement</t>
  </si>
  <si>
    <t xml:space="preserve">Transportation Expense</t>
  </si>
  <si>
    <t xml:space="preserve">Coverage that pays for a rental car while yours is being repaired after a covered loss.</t>
  </si>
  <si>
    <t xml:space="preserve">$40 per day for up to 30 days for a rental car.</t>
  </si>
  <si>
    <t xml:space="preserve">reopened-claim</t>
  </si>
  <si>
    <t xml:space="preserve">Reopened Claim</t>
  </si>
  <si>
    <t xml:space="preserve">A claim that was closed but opened again because of new information or damage.</t>
  </si>
  <si>
    <t xml:space="preserve">A closed injury claim is reopened after new surgery is needed.</t>
  </si>
  <si>
    <t xml:space="preserve">claim, reserve-development</t>
  </si>
  <si>
    <t xml:space="preserve">Replacement</t>
  </si>
  <si>
    <t xml:space="preserve">Buying a new life policy or annuity that ends or reduces an existing one, which triggers extra disclosure rules.</t>
  </si>
  <si>
    <t xml:space="preserve">A replacement form is signed when switching life policies.</t>
  </si>
  <si>
    <t xml:space="preserve">Application form, Regulatory filings</t>
  </si>
  <si>
    <t xml:space="preserve">twisting, free-look-period</t>
  </si>
  <si>
    <t xml:space="preserve">States follow the NAIC Life Insurance and Annuities Replacement Model Regulation.</t>
  </si>
  <si>
    <t xml:space="preserve">replacement-cost</t>
  </si>
  <si>
    <t xml:space="preserve">Replacement Cost</t>
  </si>
  <si>
    <t xml:space="preserve">RC; RCV; Replacement Cost Value</t>
  </si>
  <si>
    <t xml:space="preserve">The cost to replace damaged property with new property of similar kind and quality, without subtracting depreciation.</t>
  </si>
  <si>
    <t xml:space="preserve">Your 5-year-old TV is replaced with a new comparable model costing $900.</t>
  </si>
  <si>
    <t xml:space="preserve">actual-cash-value, depreciation, recoverable-depreciation, guaranteed-replacement-cost</t>
  </si>
  <si>
    <t xml:space="preserve">representation</t>
  </si>
  <si>
    <t xml:space="preserve">Representation</t>
  </si>
  <si>
    <t xml:space="preserve">A statement made by the applicant that they believe to be true, used by the insurer to decide on the risk.</t>
  </si>
  <si>
    <t xml:space="preserve">You state your home has a smoke detector.</t>
  </si>
  <si>
    <t xml:space="preserve">warranty, misrepresentation</t>
  </si>
  <si>
    <t xml:space="preserve">required-minimum-distribution</t>
  </si>
  <si>
    <t xml:space="preserve">Required Minimum Distribution</t>
  </si>
  <si>
    <t xml:space="preserve">RMD</t>
  </si>
  <si>
    <t xml:space="preserve">The minimum amount you must withdraw each year from qualified retirement accounts, including qualified annuities, after a certain age.</t>
  </si>
  <si>
    <t xml:space="preserve">At 73 you must start RMDs.</t>
  </si>
  <si>
    <t xml:space="preserve">The starting age is set by federal law (currently 73, rising to 75 in 2033).</t>
  </si>
  <si>
    <t xml:space="preserve">rescission</t>
  </si>
  <si>
    <t xml:space="preserve">Rescission</t>
  </si>
  <si>
    <t xml:space="preserve">Cancelling a policy as if it never existed, usually because of material misrepresentation, with premium refunded.</t>
  </si>
  <si>
    <t xml:space="preserve">An insurer rescinds a life policy after finding undisclosed cancer treatment.</t>
  </si>
  <si>
    <t xml:space="preserve">misrepresentation, ab-initio, void-policy, incontestability-clause</t>
  </si>
  <si>
    <t xml:space="preserve">The ACA limits rescission of health coverage to fraud or intentional misrepresentation.</t>
  </si>
  <si>
    <t xml:space="preserve">reservation-of-rights</t>
  </si>
  <si>
    <t xml:space="preserve">Reservation of Rights</t>
  </si>
  <si>
    <t xml:space="preserve">ROR Letter</t>
  </si>
  <si>
    <t xml:space="preserve">A letter from the insurer saying it will handle a claim for now but may later deny coverage.</t>
  </si>
  <si>
    <t xml:space="preserve">The insurer defends a lawsuit but reserves its right to deny if the act was intentional.</t>
  </si>
  <si>
    <t xml:space="preserve">duty-to-defend, declination</t>
  </si>
  <si>
    <t xml:space="preserve">Some states let insureds choose independent counsel (e.g., California 'Cumis counsel') when there is an ROR.</t>
  </si>
  <si>
    <t xml:space="preserve">reserve-development</t>
  </si>
  <si>
    <t xml:space="preserve">Reserve Development</t>
  </si>
  <si>
    <t xml:space="preserve">How estimates of past claims change over time; adverse development means they grew, favorable means they shrank.</t>
  </si>
  <si>
    <t xml:space="preserve">Adverse development of $50M on prior-year claims.</t>
  </si>
  <si>
    <t xml:space="preserve">loss-development, schedule-p, ibnr</t>
  </si>
  <si>
    <t xml:space="preserve">reserves</t>
  </si>
  <si>
    <t xml:space="preserve">Reserves</t>
  </si>
  <si>
    <t xml:space="preserve">Technical Reserves; Insurance Liabilities</t>
  </si>
  <si>
    <t xml:space="preserve">Money an insurer sets aside on its balance sheet to pay future claims and obligations.</t>
  </si>
  <si>
    <t xml:space="preserve">Reserves for unpaid claims and unearned premium.</t>
  </si>
  <si>
    <t xml:space="preserve">loss-reserve, unearned-premium-reserve, ibnr, policy-reserve</t>
  </si>
  <si>
    <t xml:space="preserve">residual-disability</t>
  </si>
  <si>
    <t xml:space="preserve">Residual Disability</t>
  </si>
  <si>
    <t xml:space="preserve">Partial Disability</t>
  </si>
  <si>
    <t xml:space="preserve">Benefits paid when you can work but earn less due to disability.</t>
  </si>
  <si>
    <t xml:space="preserve">You return part-time and receive partial benefits.</t>
  </si>
  <si>
    <t xml:space="preserve">Residual Market</t>
  </si>
  <si>
    <t xml:space="preserve">Assigned Risk; Shared Market; Market of Last Resort</t>
  </si>
  <si>
    <t xml:space="preserve">State-run or state-mandated plans that provide insurance to people who can't get it in the normal market.</t>
  </si>
  <si>
    <t xml:space="preserve">A driver with many violations gets auto insurance through the state assigned risk plan.</t>
  </si>
  <si>
    <t xml:space="preserve">fair-plan, assigned-risk-plan, citizens-property-insurance</t>
  </si>
  <si>
    <t xml:space="preserve">respondeat-superior</t>
  </si>
  <si>
    <t xml:space="preserve">Respondeat Superior</t>
  </si>
  <si>
    <t xml:space="preserve">Latin for 'let the master answer'. An employer is legally responsible for acts of employees done within their job.</t>
  </si>
  <si>
    <t xml:space="preserve">A hospital is liable for a nurse's error during a shift.</t>
  </si>
  <si>
    <t xml:space="preserve">vicarious-liability</t>
  </si>
  <si>
    <t xml:space="preserve">retail-agent</t>
  </si>
  <si>
    <t xml:space="preserve">Retail Agent</t>
  </si>
  <si>
    <t xml:space="preserve">Retail Broker</t>
  </si>
  <si>
    <t xml:space="preserve">The agent who deals directly with the customer.</t>
  </si>
  <si>
    <t xml:space="preserve">A retail agent works with a wholesaler for an unusual risk.</t>
  </si>
  <si>
    <t xml:space="preserve">wholesale-broker, insurance-agent</t>
  </si>
  <si>
    <t xml:space="preserve">retention</t>
  </si>
  <si>
    <t xml:space="preserve">Retention</t>
  </si>
  <si>
    <t xml:space="preserve">The amount of loss kept by the insured or by an insurer before insurance or reinsurance pays.</t>
  </si>
  <si>
    <t xml:space="preserve">A reinsurer pays losses above the insurer's $1M retention.</t>
  </si>
  <si>
    <t xml:space="preserve">self-insured-retention, attachment-point, deductible</t>
  </si>
  <si>
    <t xml:space="preserve">retention-ratio</t>
  </si>
  <si>
    <t xml:space="preserve">Retention Ratio</t>
  </si>
  <si>
    <t xml:space="preserve">Renewal Retention</t>
  </si>
  <si>
    <t xml:space="preserve">The percentage of policies that renew.</t>
  </si>
  <si>
    <t xml:space="preserve">An 87% retention ratio means 13% of customers left.</t>
  </si>
  <si>
    <t xml:space="preserve">renewal, new-business</t>
  </si>
  <si>
    <t xml:space="preserve">retroactive-date</t>
  </si>
  <si>
    <t xml:space="preserve">Retroactive Date</t>
  </si>
  <si>
    <t xml:space="preserve">Retro Date</t>
  </si>
  <si>
    <t xml:space="preserve">The date on a claims-made policy before which incidents are not covered, even if the claim is made during the policy.</t>
  </si>
  <si>
    <t xml:space="preserve">A retro date of 2018 means a mistake made in 2016 is not covered.</t>
  </si>
  <si>
    <t xml:space="preserve">claims-made-policy, prior-acts-coverage, tail-coverage</t>
  </si>
  <si>
    <t xml:space="preserve">retrocession</t>
  </si>
  <si>
    <t xml:space="preserve">Retrocession</t>
  </si>
  <si>
    <t xml:space="preserve">Retro</t>
  </si>
  <si>
    <t xml:space="preserve">Reinsurance bought by reinsurers to protect themselves.</t>
  </si>
  <si>
    <t xml:space="preserve">A reinsurer buys retrocession for peak hurricane risk.</t>
  </si>
  <si>
    <t xml:space="preserve">reinsurance, retrocessionaire</t>
  </si>
  <si>
    <t xml:space="preserve">retrocessionaire</t>
  </si>
  <si>
    <t xml:space="preserve">Retrocessionaire</t>
  </si>
  <si>
    <t xml:space="preserve">The company that provides retrocession to a reinsurer.</t>
  </si>
  <si>
    <t xml:space="preserve">A hedge-fund-backed retrocessionaire.</t>
  </si>
  <si>
    <t xml:space="preserve">retrospective-rating</t>
  </si>
  <si>
    <t xml:space="preserve">Retrospective Rating</t>
  </si>
  <si>
    <t xml:space="preserve">Retro Plan</t>
  </si>
  <si>
    <t xml:space="preserve">A plan where the final premium is adjusted after the policy period based on actual losses during that period.</t>
  </si>
  <si>
    <t xml:space="preserve">A large employer pays a lower premium after a year with few claims.</t>
  </si>
  <si>
    <t xml:space="preserve">experience-rating, loss-sensitive-program</t>
  </si>
  <si>
    <t xml:space="preserve">return-of-premium-term</t>
  </si>
  <si>
    <t xml:space="preserve">Return of Premium Term</t>
  </si>
  <si>
    <t xml:space="preserve">ROP Term</t>
  </si>
  <si>
    <t xml:space="preserve">Term life that refunds premiums paid if you outlive the term, at a higher price.</t>
  </si>
  <si>
    <t xml:space="preserve">After 20 years you get back all your premiums.</t>
  </si>
  <si>
    <t xml:space="preserve">term-life-insurance</t>
  </si>
  <si>
    <t xml:space="preserve">return-period</t>
  </si>
  <si>
    <t xml:space="preserve">Return Period</t>
  </si>
  <si>
    <t xml:space="preserve">Property, Agriculture, Reinsurance</t>
  </si>
  <si>
    <t xml:space="preserve">How often, on average, a loss of a certain size is expected, such as once in 100 years.</t>
  </si>
  <si>
    <t xml:space="preserve">A 1-in-100 return period equals 1% chance each year.</t>
  </si>
  <si>
    <t xml:space="preserve">return-premium</t>
  </si>
  <si>
    <t xml:space="preserve">Return Premium</t>
  </si>
  <si>
    <t xml:space="preserve">RP; Refund</t>
  </si>
  <si>
    <t xml:space="preserve">Money returned to the policyholder because of a cancellation or a reduction in coverage.</t>
  </si>
  <si>
    <t xml:space="preserve">Removing a car mid-term produces a $120 return premium.</t>
  </si>
  <si>
    <t xml:space="preserve">additional-premium, pro-rata-cancellation</t>
  </si>
  <si>
    <t xml:space="preserve">revenue-protection</t>
  </si>
  <si>
    <t xml:space="preserve">Revenue Protection</t>
  </si>
  <si>
    <t xml:space="preserve">RP</t>
  </si>
  <si>
    <t xml:space="preserve">A federal crop policy covering loss of revenue from low yields, price declines, or both.</t>
  </si>
  <si>
    <t xml:space="preserve">Prices fall and yields drop; RP pays the difference.</t>
  </si>
  <si>
    <t xml:space="preserve">multi-peril-crop-insurance, yield-protection</t>
  </si>
  <si>
    <t xml:space="preserve">Rider</t>
  </si>
  <si>
    <t xml:space="preserve">An add-on to a life or health policy that changes or adds benefits, usually for extra premium.</t>
  </si>
  <si>
    <t xml:space="preserve">A waiver-of-premium rider on a life policy.</t>
  </si>
  <si>
    <t xml:space="preserve">Policy document, Application form</t>
  </si>
  <si>
    <t xml:space="preserve">endorsement, accelerated-death-benefit-rider, waiver-of-premium-rider</t>
  </si>
  <si>
    <t xml:space="preserve">rideshare-coverage</t>
  </si>
  <si>
    <t xml:space="preserve">Rideshare Coverage</t>
  </si>
  <si>
    <t xml:space="preserve">TNC Endorsement</t>
  </si>
  <si>
    <t xml:space="preserve">Coverage for drivers using their car for services like Uber or Lyft, filling gaps in personal auto policies.</t>
  </si>
  <si>
    <t xml:space="preserve">Covers the period when the app is on but no ride is accepted.</t>
  </si>
  <si>
    <t xml:space="preserve">personal-auto-policy, commercial-auto-insurance</t>
  </si>
  <si>
    <t xml:space="preserve">Most states have TNC insurance laws.</t>
  </si>
  <si>
    <t xml:space="preserve">risk</t>
  </si>
  <si>
    <t xml:space="preserve">Risk</t>
  </si>
  <si>
    <t xml:space="preserve">The chance that something bad and costly will happen. Insurers also use 'risk' to mean the person or property being insured.</t>
  </si>
  <si>
    <t xml:space="preserve">A house near the coast has a higher risk of hurricane damage.</t>
  </si>
  <si>
    <t xml:space="preserve">Underwriting system, Policy document</t>
  </si>
  <si>
    <t xml:space="preserve">hazard, peril, exposure, risk-management</t>
  </si>
  <si>
    <t xml:space="preserve">risk-adjustment</t>
  </si>
  <si>
    <t xml:space="preserve">Risk Adjustment</t>
  </si>
  <si>
    <t xml:space="preserve">A program that moves money from health plans with healthier members to plans with sicker members.</t>
  </si>
  <si>
    <t xml:space="preserve">A plan with many diabetic enrollees receives risk adjustment payments.</t>
  </si>
  <si>
    <t xml:space="preserve">affordable-care-act, hierarchical-condition-categories</t>
  </si>
  <si>
    <t xml:space="preserve">Used in ACA markets and Medicare Advantage.</t>
  </si>
  <si>
    <t xml:space="preserve">risk-appetite</t>
  </si>
  <si>
    <t xml:space="preserve">Risk Appetite</t>
  </si>
  <si>
    <t xml:space="preserve">The types and amount of risk an insurer is willing to accept.</t>
  </si>
  <si>
    <t xml:space="preserve">An insurer's appetite excludes restaurants with deep fryers.</t>
  </si>
  <si>
    <t xml:space="preserve">underwriting-guidelines, capacity</t>
  </si>
  <si>
    <t xml:space="preserve">risk-class</t>
  </si>
  <si>
    <t xml:space="preserve">Risk Class</t>
  </si>
  <si>
    <t xml:space="preserve">Underwriting Class; Rate Class</t>
  </si>
  <si>
    <t xml:space="preserve">A group into which applicants with similar risk are placed, such as preferred plus, standard or substandard.</t>
  </si>
  <si>
    <t xml:space="preserve">A non-smoker in excellent health gets Preferred Plus.</t>
  </si>
  <si>
    <t xml:space="preserve">Underwriting system, Quote</t>
  </si>
  <si>
    <t xml:space="preserve">table-rating, medical-underwriting</t>
  </si>
  <si>
    <t xml:space="preserve">risk-management</t>
  </si>
  <si>
    <t xml:space="preserve">Risk Management</t>
  </si>
  <si>
    <t xml:space="preserve">The process of identifying risks and deciding how to handle them, such as avoiding, reducing, retaining or transferring them.</t>
  </si>
  <si>
    <t xml:space="preserve">A factory installs sprinklers and buys property insurance as part of risk management.</t>
  </si>
  <si>
    <t xml:space="preserve">risk-transfer, risk-retention, loss-control</t>
  </si>
  <si>
    <t xml:space="preserve">risk-pooling</t>
  </si>
  <si>
    <t xml:space="preserve">Risk Pooling</t>
  </si>
  <si>
    <t xml:space="preserve">Pooling</t>
  </si>
  <si>
    <t xml:space="preserve">Combining many people's premiums so that the losses of a few are paid from the money of many.</t>
  </si>
  <si>
    <t xml:space="preserve">Thousands of homeowners pay premiums into a pool that pays for the few homes that burn.</t>
  </si>
  <si>
    <t xml:space="preserve">insurance, law-of-large-numbers</t>
  </si>
  <si>
    <t xml:space="preserve">risk-rating-2</t>
  </si>
  <si>
    <t xml:space="preserve">Risk Rating 2.0</t>
  </si>
  <si>
    <t xml:space="preserve">FEMA's pricing method for NFIP policies, introduced in 2021, that bases premiums on each property's individual flood risk.</t>
  </si>
  <si>
    <t xml:space="preserve">Two neighbors pay different NFIP premiums based on distance to water.</t>
  </si>
  <si>
    <t xml:space="preserve">risk-retention</t>
  </si>
  <si>
    <t xml:space="preserve">Risk Retention</t>
  </si>
  <si>
    <t xml:space="preserve">Self-Insurance</t>
  </si>
  <si>
    <t xml:space="preserve">Choosing to pay for certain losses yourself instead of insuring them.</t>
  </si>
  <si>
    <t xml:space="preserve">A company pays small property losses under $25,000 out of its own budget.</t>
  </si>
  <si>
    <t xml:space="preserve">self-insurance, deductible, self-insured-retention</t>
  </si>
  <si>
    <t xml:space="preserve">Risk Retention Group</t>
  </si>
  <si>
    <t xml:space="preserve">RRG</t>
  </si>
  <si>
    <t xml:space="preserve">A liability insurer owned by its members in the same industry, allowed by federal law to operate across states after licensing in one.</t>
  </si>
  <si>
    <t xml:space="preserve">Physicians form an RRG for malpractice coverage.</t>
  </si>
  <si>
    <t xml:space="preserve">captive-insurance-company, purchasing-group</t>
  </si>
  <si>
    <t xml:space="preserve">Created under the federal Liability Risk Retention Act.</t>
  </si>
  <si>
    <t xml:space="preserve">risk-selection</t>
  </si>
  <si>
    <t xml:space="preserve">Risk Selection</t>
  </si>
  <si>
    <t xml:space="preserve">Choosing which applicants to insure to keep the book of business profitable.</t>
  </si>
  <si>
    <t xml:space="preserve">An insurer selects drivers with clean records.</t>
  </si>
  <si>
    <t xml:space="preserve">underwriting, adverse-selection</t>
  </si>
  <si>
    <t xml:space="preserve">risk-transfer</t>
  </si>
  <si>
    <t xml:space="preserve">Risk Transfer</t>
  </si>
  <si>
    <t xml:space="preserve">Shifting the financial cost of a risk to someone else, usually an insurer or through a contract.</t>
  </si>
  <si>
    <t xml:space="preserve">A contractor makes subcontractors carry insurance and name it as additional insured.</t>
  </si>
  <si>
    <t xml:space="preserve">risk-management, hold-harmless-agreement, insurance</t>
  </si>
  <si>
    <t xml:space="preserve">risk-transfer-testing</t>
  </si>
  <si>
    <t xml:space="preserve">Risk Transfer Testing</t>
  </si>
  <si>
    <t xml:space="preserve">10-10 Rule</t>
  </si>
  <si>
    <t xml:space="preserve">Accounting tests to confirm a reinsurance contract transfers enough risk to count as insurance.</t>
  </si>
  <si>
    <t xml:space="preserve">An auditor checks there's a 10% chance of a 10% loss.</t>
  </si>
  <si>
    <t xml:space="preserve">risk-based-capital</t>
  </si>
  <si>
    <t xml:space="preserve">Risk-Based Capital</t>
  </si>
  <si>
    <t xml:space="preserve">RBC</t>
  </si>
  <si>
    <t xml:space="preserve">A regulatory formula that sets the minimum capital an insurer needs based on its risks.</t>
  </si>
  <si>
    <t xml:space="preserve">An insurer below 200% RBC triggers regulator action.</t>
  </si>
  <si>
    <t xml:space="preserve">Regulatory filings, Financial statements</t>
  </si>
  <si>
    <t xml:space="preserve">solvency, insolvency, naic</t>
  </si>
  <si>
    <t xml:space="preserve">rma</t>
  </si>
  <si>
    <t xml:space="preserve">RMA</t>
  </si>
  <si>
    <t xml:space="preserve">Risk Management Agency</t>
  </si>
  <si>
    <t xml:space="preserve">The USDA agency that oversees the federal crop insurance program.</t>
  </si>
  <si>
    <t xml:space="preserve">RMA sets crop insurance prices and rules.</t>
  </si>
  <si>
    <t xml:space="preserve">federal-crop-insurance-corporation, crop-insurance</t>
  </si>
  <si>
    <t xml:space="preserve">roadside-assistance</t>
  </si>
  <si>
    <t xml:space="preserve">Roadside Assistance</t>
  </si>
  <si>
    <t xml:space="preserve">Towing and Labor</t>
  </si>
  <si>
    <t xml:space="preserve">Coverage for towing, jump starts, flat tires and lockouts.</t>
  </si>
  <si>
    <t xml:space="preserve">A tow when your car breaks down.</t>
  </si>
  <si>
    <t xml:space="preserve">roof-payment-schedule</t>
  </si>
  <si>
    <t xml:space="preserve">Roof Payment Schedule</t>
  </si>
  <si>
    <t xml:space="preserve">Roof Surfacing Payment Schedule</t>
  </si>
  <si>
    <t xml:space="preserve">An endorsement paying roof damage based on the roof's age using a depreciation schedule.</t>
  </si>
  <si>
    <t xml:space="preserve">A 15-year-old roof is paid at 40% of replacement cost.</t>
  </si>
  <si>
    <t xml:space="preserve">actual-cash-value, endorsement</t>
  </si>
  <si>
    <t xml:space="preserve">Common in hail-prone states like Texas and Colorado.</t>
  </si>
  <si>
    <t xml:space="preserve">run-off</t>
  </si>
  <si>
    <t xml:space="preserve">Run-Off</t>
  </si>
  <si>
    <t xml:space="preserve">Legacy Business</t>
  </si>
  <si>
    <t xml:space="preserve">A book of business that no longer writes new policies but still has claims to pay.</t>
  </si>
  <si>
    <t xml:space="preserve">A closed-down asbestos portfolio in run-off.</t>
  </si>
  <si>
    <t xml:space="preserve">salvage</t>
  </si>
  <si>
    <t xml:space="preserve">Salvage</t>
  </si>
  <si>
    <t xml:space="preserve">Damaged property the insurer takes after paying a total loss, or money recovered by selling it.</t>
  </si>
  <si>
    <t xml:space="preserve">The insurer sells your wrecked car at auction for $1,500.</t>
  </si>
  <si>
    <t xml:space="preserve">total-loss, subrogation, recovery</t>
  </si>
  <si>
    <t xml:space="preserve">salvage-title</t>
  </si>
  <si>
    <t xml:space="preserve">Salvage Title</t>
  </si>
  <si>
    <t xml:space="preserve">Branded Title</t>
  </si>
  <si>
    <t xml:space="preserve">A vehicle title marking a car as having been a total loss.</t>
  </si>
  <si>
    <t xml:space="preserve">A car rebuilt after a flood has a salvage title.</t>
  </si>
  <si>
    <t xml:space="preserve">total-loss, salvage</t>
  </si>
  <si>
    <t xml:space="preserve">Rules and branding vary by state.</t>
  </si>
  <si>
    <t xml:space="preserve">sanctions-clause</t>
  </si>
  <si>
    <t xml:space="preserve">Sanctions Clause</t>
  </si>
  <si>
    <t xml:space="preserve">A clause saying the insurer will not provide coverage or pay claims if doing so would violate sanctions laws.</t>
  </si>
  <si>
    <t xml:space="preserve">Cargo headed to a sanctioned port is not covered.</t>
  </si>
  <si>
    <t xml:space="preserve">schedule</t>
  </si>
  <si>
    <t xml:space="preserve">Schedule</t>
  </si>
  <si>
    <t xml:space="preserve">A list attached to a policy that details specific items, locations, vehicles or people covered.</t>
  </si>
  <si>
    <t xml:space="preserve">A schedule lists 12 insured buildings with values.</t>
  </si>
  <si>
    <t xml:space="preserve">declarations-page, scheduled-personal-property</t>
  </si>
  <si>
    <t xml:space="preserve">schedule-p</t>
  </si>
  <si>
    <t xml:space="preserve">Schedule P</t>
  </si>
  <si>
    <t xml:space="preserve">The part of the P&amp;C annual statement showing how loss reserves have developed over ten years.</t>
  </si>
  <si>
    <t xml:space="preserve">Analysts use Schedule P to check whether reserves were adequate.</t>
  </si>
  <si>
    <t xml:space="preserve">annual-statement, loss-development, reserves</t>
  </si>
  <si>
    <t xml:space="preserve">schedule-rating</t>
  </si>
  <si>
    <t xml:space="preserve">Schedule Rating</t>
  </si>
  <si>
    <t xml:space="preserve">Adjusting a commercial premium up or down within limits based on the underwriter's judgment of specific characteristics.</t>
  </si>
  <si>
    <t xml:space="preserve">A 15% credit for excellent housekeeping and safety programs.</t>
  </si>
  <si>
    <t xml:space="preserve">experience-rating, rating-factor</t>
  </si>
  <si>
    <t xml:space="preserve">Maximum schedule credits and debits are filed with each state.</t>
  </si>
  <si>
    <t xml:space="preserve">scheduled-personal-property</t>
  </si>
  <si>
    <t xml:space="preserve">Scheduled Personal Property</t>
  </si>
  <si>
    <t xml:space="preserve">Personal Articles Floater; Floater</t>
  </si>
  <si>
    <t xml:space="preserve">Specific valuable items listed individually with their own limits, often with broader coverage.</t>
  </si>
  <si>
    <t xml:space="preserve">A $10,000 engagement ring scheduled on your home policy.</t>
  </si>
  <si>
    <t xml:space="preserve">sublimit, inland-marine-insurance, endorsement</t>
  </si>
  <si>
    <t xml:space="preserve">securities-claim</t>
  </si>
  <si>
    <t xml:space="preserve">Securities Claim</t>
  </si>
  <si>
    <t xml:space="preserve">A claim alleging violation of securities laws, such as misleading investors.</t>
  </si>
  <si>
    <t xml:space="preserve">Shareholders sue after the stock drops on restated earnings.</t>
  </si>
  <si>
    <t xml:space="preserve">side-c, directors-and-officers-liability</t>
  </si>
  <si>
    <t xml:space="preserve">Self-Funded Plan</t>
  </si>
  <si>
    <t xml:space="preserve">Self-Insured Plan; ASO Plan</t>
  </si>
  <si>
    <t xml:space="preserve">A health plan where the employer pays claims from its own funds, usually hiring an insurer or TPA to administer it.</t>
  </si>
  <si>
    <t xml:space="preserve">A large company pays employees' medical claims directly.</t>
  </si>
  <si>
    <t xml:space="preserve">fully-insured-plan, stop-loss-insurance, erisa, administrative-services-only</t>
  </si>
  <si>
    <t xml:space="preserve">Governed by ERISA and generally exempt from state insurance mandates.</t>
  </si>
  <si>
    <t xml:space="preserve">self-insurance</t>
  </si>
  <si>
    <t xml:space="preserve">Self-Funding</t>
  </si>
  <si>
    <t xml:space="preserve">When an organization pays its own losses from its own funds rather than buying insurance.</t>
  </si>
  <si>
    <t xml:space="preserve">A large employer pays employee medical bills directly and hires a TPA to process claims.</t>
  </si>
  <si>
    <t xml:space="preserve">risk-retention, self-funded-plan, third-party-administrator, captive-insurance-company</t>
  </si>
  <si>
    <t xml:space="preserve">Self-insuring workers' comp requires state approval; self-funded health plans are governed by ERISA.</t>
  </si>
  <si>
    <t xml:space="preserve">self-insured-retention</t>
  </si>
  <si>
    <t xml:space="preserve">Self-Insured Retention</t>
  </si>
  <si>
    <t xml:space="preserve">SIR</t>
  </si>
  <si>
    <t xml:space="preserve">An amount the insured must pay (including defense costs) before the insurer becomes involved; unlike a deductible, the insurer doesn't pay first.</t>
  </si>
  <si>
    <t xml:space="preserve">A company pays the first $250,000 of each liability claim itself.</t>
  </si>
  <si>
    <t xml:space="preserve">deductible, risk-retention, retention</t>
  </si>
  <si>
    <t xml:space="preserve">serff</t>
  </si>
  <si>
    <t xml:space="preserve">SERFF</t>
  </si>
  <si>
    <t xml:space="preserve">System for Electronic Rates and Forms Filing</t>
  </si>
  <si>
    <t xml:space="preserve">The NAIC's online system insurers use to submit rate and form filings to states.</t>
  </si>
  <si>
    <t xml:space="preserve">Product filings for a new auto program go through SERFF.</t>
  </si>
  <si>
    <t xml:space="preserve">rate-filing, form-filing, naic</t>
  </si>
  <si>
    <t xml:space="preserve">Severability of Interests</t>
  </si>
  <si>
    <t xml:space="preserve">Separation of Insureds</t>
  </si>
  <si>
    <t xml:space="preserve">A clause that applies the policy separately to each insured, as if each had its own policy.</t>
  </si>
  <si>
    <t xml:space="preserve">An exclusion for one insured's intentional act doesn't remove coverage for an innocent co-insured.</t>
  </si>
  <si>
    <t xml:space="preserve">named-insured, innocent-co-insured</t>
  </si>
  <si>
    <t xml:space="preserve">severity</t>
  </si>
  <si>
    <t xml:space="preserve">Severity</t>
  </si>
  <si>
    <t xml:space="preserve">Claim Severity</t>
  </si>
  <si>
    <t xml:space="preserve">The average cost of each loss or claim.</t>
  </si>
  <si>
    <t xml:space="preserve">If 10 claims cost $50,000 total, severity is $5,000.</t>
  </si>
  <si>
    <t xml:space="preserve">frequency, loss-cost</t>
  </si>
  <si>
    <t xml:space="preserve">short-rate-cancellation</t>
  </si>
  <si>
    <t xml:space="preserve">Short-Rate Cancellation</t>
  </si>
  <si>
    <t xml:space="preserve">A cancellation where the refund is less than the proportional amount to cover the insurer's costs.</t>
  </si>
  <si>
    <t xml:space="preserve">Cancelling halfway through a $1,000 policy returns only $450.</t>
  </si>
  <si>
    <t xml:space="preserve">pro-rata-cancellation, cancellation</t>
  </si>
  <si>
    <t xml:space="preserve">Some states prohibit or limit short-rate penalties in personal lines.</t>
  </si>
  <si>
    <t xml:space="preserve">short-tail</t>
  </si>
  <si>
    <t xml:space="preserve">Short-Tail Line</t>
  </si>
  <si>
    <t xml:space="preserve">A line where claims are reported and settled quickly, like property and auto physical damage.</t>
  </si>
  <si>
    <t xml:space="preserve">Hail claims are usually closed within months.</t>
  </si>
  <si>
    <t xml:space="preserve">short-term-disability-insurance</t>
  </si>
  <si>
    <t xml:space="preserve">Short-Term Disability Insurance</t>
  </si>
  <si>
    <t xml:space="preserve">STD</t>
  </si>
  <si>
    <t xml:space="preserve">Disability insurance that pays for a short period, often up to 3–6 months.</t>
  </si>
  <si>
    <t xml:space="preserve">Paid for 12 weeks after surgery.</t>
  </si>
  <si>
    <t xml:space="preserve">disability-insurance, long-term-disability-insurance</t>
  </si>
  <si>
    <t xml:space="preserve">California, Hawaii, New Jersey, New York, Rhode Island and Puerto Rico have mandatory state disability programs.</t>
  </si>
  <si>
    <t xml:space="preserve">short-term-health-insurance</t>
  </si>
  <si>
    <t xml:space="preserve">Short-Term Health Insurance</t>
  </si>
  <si>
    <t xml:space="preserve">Short-Term Limited Duration Insurance; STLDI</t>
  </si>
  <si>
    <t xml:space="preserve">Temporary health coverage that doesn't have to follow ACA rules and may exclude pre-existing conditions.</t>
  </si>
  <si>
    <t xml:space="preserve">A 3-month plan between jobs.</t>
  </si>
  <si>
    <t xml:space="preserve">affordable-care-act, pre-existing-condition</t>
  </si>
  <si>
    <t xml:space="preserve">Federal rules (2024) cap initial terms at 3 months; many states restrict or ban these plans.</t>
  </si>
  <si>
    <t xml:space="preserve">sic-code</t>
  </si>
  <si>
    <t xml:space="preserve">SIC Code</t>
  </si>
  <si>
    <t xml:space="preserve">Standard Industrial Classification</t>
  </si>
  <si>
    <t xml:space="preserve">An older 4-digit industry classification still used by some insurers.</t>
  </si>
  <si>
    <t xml:space="preserve">SIC 5812 means eating places.</t>
  </si>
  <si>
    <t xml:space="preserve">naics-code, class-code</t>
  </si>
  <si>
    <t xml:space="preserve">side-a</t>
  </si>
  <si>
    <t xml:space="preserve">Side A Coverage</t>
  </si>
  <si>
    <t xml:space="preserve">D&amp;O coverage paying directors and officers directly when the company can't indemnify them, such as in bankruptcy.</t>
  </si>
  <si>
    <t xml:space="preserve">Side A pays a director's defense when the company is insolvent.</t>
  </si>
  <si>
    <t xml:space="preserve">directors-and-officers-liability, side-b, side-c</t>
  </si>
  <si>
    <t xml:space="preserve">side-b</t>
  </si>
  <si>
    <t xml:space="preserve">Side B Coverage</t>
  </si>
  <si>
    <t xml:space="preserve">Corporate Reimbursement</t>
  </si>
  <si>
    <t xml:space="preserve">D&amp;O coverage reimbursing the company when it indemnifies its directors and officers.</t>
  </si>
  <si>
    <t xml:space="preserve">The company pays a CEO's legal fees and is reimbursed.</t>
  </si>
  <si>
    <t xml:space="preserve">side-a, side-c</t>
  </si>
  <si>
    <t xml:space="preserve">side-c</t>
  </si>
  <si>
    <t xml:space="preserve">Side C Coverage</t>
  </si>
  <si>
    <t xml:space="preserve">Entity Coverage</t>
  </si>
  <si>
    <t xml:space="preserve">D&amp;O coverage protecting the company itself, often only for securities claims in public companies.</t>
  </si>
  <si>
    <t xml:space="preserve">A securities class action against the company.</t>
  </si>
  <si>
    <t xml:space="preserve">side-a, side-b, securities-claim</t>
  </si>
  <si>
    <t xml:space="preserve">simplified-issue</t>
  </si>
  <si>
    <t xml:space="preserve">Simplified Issue</t>
  </si>
  <si>
    <t xml:space="preserve">A policy issued based on a few health questions, with no medical exam.</t>
  </si>
  <si>
    <t xml:space="preserve">A $100,000 simplified issue term policy.</t>
  </si>
  <si>
    <t xml:space="preserve">guaranteed-issue, medical-underwriting</t>
  </si>
  <si>
    <t xml:space="preserve">slip</t>
  </si>
  <si>
    <t xml:space="preserve">Slip</t>
  </si>
  <si>
    <t xml:space="preserve">Placing Slip</t>
  </si>
  <si>
    <t xml:space="preserve">Marine/Aviation/Transit, Specialty, Reinsurance</t>
  </si>
  <si>
    <t xml:space="preserve">A document summarizing the terms of a risk, which underwriters sign to accept a share.</t>
  </si>
  <si>
    <t xml:space="preserve">Lloyd's underwriters stamp the slip for their lines.</t>
  </si>
  <si>
    <t xml:space="preserve">lloyds, line</t>
  </si>
  <si>
    <t xml:space="preserve">social-engineering-fraud</t>
  </si>
  <si>
    <t xml:space="preserve">Social Engineering Fraud</t>
  </si>
  <si>
    <t xml:space="preserve">Funds Transfer Fraud</t>
  </si>
  <si>
    <t xml:space="preserve">Coverage for losses when an employee is tricked into sending money to a fraudster.</t>
  </si>
  <si>
    <t xml:space="preserve">An employee wires $80,000 after a fake CEO email.</t>
  </si>
  <si>
    <t xml:space="preserve">crime-insurance, cyber-insurance</t>
  </si>
  <si>
    <t xml:space="preserve">social-inflation</t>
  </si>
  <si>
    <t xml:space="preserve">Social Inflation</t>
  </si>
  <si>
    <t xml:space="preserve">Rising claim costs driven by larger jury awards, litigation funding and changing attitudes toward corporations.</t>
  </si>
  <si>
    <t xml:space="preserve">Commercial auto claims grow faster than general inflation.</t>
  </si>
  <si>
    <t xml:space="preserve">excess-verdict, loss-trend</t>
  </si>
  <si>
    <t xml:space="preserve">social-insurance</t>
  </si>
  <si>
    <t xml:space="preserve">Social Insurance</t>
  </si>
  <si>
    <t xml:space="preserve">Social/Government</t>
  </si>
  <si>
    <t xml:space="preserve">Government insurance programs funded by payroll taxes or contributions, like Social Security, Medicare and unemployment insurance.</t>
  </si>
  <si>
    <t xml:space="preserve">Payroll taxes fund Social Security.</t>
  </si>
  <si>
    <t xml:space="preserve">medicare, social-security-disability, unemployment-insurance</t>
  </si>
  <si>
    <t xml:space="preserve">social-security-disability</t>
  </si>
  <si>
    <t xml:space="preserve">Social Security Disability Insurance</t>
  </si>
  <si>
    <t xml:space="preserve">SSDI</t>
  </si>
  <si>
    <t xml:space="preserve">A federal program paying monthly benefits to people who can't work due to a severe disability and have enough work credits.</t>
  </si>
  <si>
    <t xml:space="preserve">A worker with MS receives SSDI.</t>
  </si>
  <si>
    <t xml:space="preserve">soft-fraud</t>
  </si>
  <si>
    <t xml:space="preserve">Soft Fraud</t>
  </si>
  <si>
    <t xml:space="preserve">Opportunistic Fraud</t>
  </si>
  <si>
    <t xml:space="preserve">Exaggerating a genuine claim or lying on an application to pay less.</t>
  </si>
  <si>
    <t xml:space="preserve">Adding a laptop that wasn't stolen to a real burglary claim.</t>
  </si>
  <si>
    <t xml:space="preserve">insurance-fraud, hard-fraud</t>
  </si>
  <si>
    <t xml:space="preserve">soft-market</t>
  </si>
  <si>
    <t xml:space="preserve">Soft Market</t>
  </si>
  <si>
    <t xml:space="preserve">A period when insurance is easy to buy, prices fall and terms loosen due to competition.</t>
  </si>
  <si>
    <t xml:space="preserve">In a soft market, brokers can get more coverage for less premium.</t>
  </si>
  <si>
    <t xml:space="preserve">hard-market, underwriting-cycle</t>
  </si>
  <si>
    <t xml:space="preserve">solvency</t>
  </si>
  <si>
    <t xml:space="preserve">Solvency</t>
  </si>
  <si>
    <t xml:space="preserve">An insurer's ability to pay all its obligations, including future claims.</t>
  </si>
  <si>
    <t xml:space="preserve">Regulators monitor solvency through capital ratios.</t>
  </si>
  <si>
    <t xml:space="preserve">risk-based-capital, insolvency</t>
  </si>
  <si>
    <t xml:space="preserve">space-insurance</t>
  </si>
  <si>
    <t xml:space="preserve">Space Insurance</t>
  </si>
  <si>
    <t xml:space="preserve">Covers satellites during launch and in orbit.</t>
  </si>
  <si>
    <t xml:space="preserve">A satellite fails after launch.</t>
  </si>
  <si>
    <t xml:space="preserve">special-damages</t>
  </si>
  <si>
    <t xml:space="preserve">Special Damages</t>
  </si>
  <si>
    <t xml:space="preserve">Economic Damages</t>
  </si>
  <si>
    <t xml:space="preserve">Damages for losses with a specific dollar amount, such as medical bills and lost wages.</t>
  </si>
  <si>
    <t xml:space="preserve">Hospital bills of $12,000 are special damages.</t>
  </si>
  <si>
    <t xml:space="preserve">general-damages, compensatory-damages</t>
  </si>
  <si>
    <t xml:space="preserve">Special Enrollment Period</t>
  </si>
  <si>
    <t xml:space="preserve">SEP</t>
  </si>
  <si>
    <t xml:space="preserve">A time outside open enrollment when you can enroll because of a life event like losing coverage, marriage or having a baby.</t>
  </si>
  <si>
    <t xml:space="preserve">You have 60 days after losing job coverage to enroll.</t>
  </si>
  <si>
    <t xml:space="preserve">open-enrollment-period, qualifying-life-event</t>
  </si>
  <si>
    <t xml:space="preserve">special-form</t>
  </si>
  <si>
    <t xml:space="preserve">Special Form</t>
  </si>
  <si>
    <t xml:space="preserve">Special Causes of Loss</t>
  </si>
  <si>
    <t xml:space="preserve">A property coverage form that covers all risks of direct physical loss except those excluded.</t>
  </si>
  <si>
    <t xml:space="preserve">Most commercial buildings are insured on special form.</t>
  </si>
  <si>
    <t xml:space="preserve">open-perils, broad-form, basic-form</t>
  </si>
  <si>
    <t xml:space="preserve">special-investigations-unit</t>
  </si>
  <si>
    <t xml:space="preserve">Special Investigations Unit</t>
  </si>
  <si>
    <t xml:space="preserve">SIU</t>
  </si>
  <si>
    <t xml:space="preserve">An insurer's team that investigates suspected fraud.</t>
  </si>
  <si>
    <t xml:space="preserve">A suspicious fire claim is referred to SIU.</t>
  </si>
  <si>
    <t xml:space="preserve">insurance-fraud, examination-under-oath</t>
  </si>
  <si>
    <t xml:space="preserve">Most states require insurers to maintain an SIU or anti-fraud plan.</t>
  </si>
  <si>
    <t xml:space="preserve">specialty-insurance</t>
  </si>
  <si>
    <t xml:space="preserve">Specialty Insurance</t>
  </si>
  <si>
    <t xml:space="preserve">Coverage for unusual, complex or niche risks not handled by standard policies.</t>
  </si>
  <si>
    <t xml:space="preserve">Insurance for a film production or a rare art collection.</t>
  </si>
  <si>
    <t xml:space="preserve">surplus-lines</t>
  </si>
  <si>
    <t xml:space="preserve">specific-stop-loss</t>
  </si>
  <si>
    <t xml:space="preserve">Specific Stop-Loss</t>
  </si>
  <si>
    <t xml:space="preserve">Stop-loss that pays when one person's claims exceed a set amount.</t>
  </si>
  <si>
    <t xml:space="preserve">Pays one employee's claims above $150,000.</t>
  </si>
  <si>
    <t xml:space="preserve">stop-loss-insurance, aggregate-stop-loss</t>
  </si>
  <si>
    <t xml:space="preserve">speculative-risk</t>
  </si>
  <si>
    <t xml:space="preserve">Speculative Risk</t>
  </si>
  <si>
    <t xml:space="preserve">A risk that could lead to a gain or a loss, such as gambling or investing. It is generally not insurable.</t>
  </si>
  <si>
    <t xml:space="preserve">Buying stock is a speculative risk because it can go up or down.</t>
  </si>
  <si>
    <t xml:space="preserve">pure-risk, insurable-risk</t>
  </si>
  <si>
    <t xml:space="preserve">split-limits</t>
  </si>
  <si>
    <t xml:space="preserve">Split Limits</t>
  </si>
  <si>
    <t xml:space="preserve">25/50/25</t>
  </si>
  <si>
    <t xml:space="preserve">Auto liability limits shown as three numbers: per-person bodily injury, per-accident bodily injury and property damage (in thousands).</t>
  </si>
  <si>
    <t xml:space="preserve">100/300/100 means $100k per person, $300k per accident, $100k property.</t>
  </si>
  <si>
    <t xml:space="preserve">combined-single-limit, bodily-injury-liability</t>
  </si>
  <si>
    <t xml:space="preserve">State minimums range widely (e.g., 25/50/25 or 15/30/5).</t>
  </si>
  <si>
    <t xml:space="preserve">spoilage-coverage</t>
  </si>
  <si>
    <t xml:space="preserve">Spoilage Coverage</t>
  </si>
  <si>
    <t xml:space="preserve">Covers perishable goods that spoil due to power failure or equipment breakdown.</t>
  </si>
  <si>
    <t xml:space="preserve">A grocery's frozen food spoils in a power outage.</t>
  </si>
  <si>
    <t xml:space="preserve">sr-22</t>
  </si>
  <si>
    <t xml:space="preserve">SR-22</t>
  </si>
  <si>
    <t xml:space="preserve">Certificate of Financial Responsibility</t>
  </si>
  <si>
    <t xml:space="preserve">A form your insurer files with the state proving you carry required auto insurance, often after a DUI or serious violations.</t>
  </si>
  <si>
    <t xml:space="preserve">After a DUI, you need an SR-22 for three years.</t>
  </si>
  <si>
    <t xml:space="preserve">Florida and Virginia also use FR-44 for DUIs with higher limits.</t>
  </si>
  <si>
    <t xml:space="preserve">staff-adjuster</t>
  </si>
  <si>
    <t xml:space="preserve">Staff Adjuster</t>
  </si>
  <si>
    <t xml:space="preserve">An adjuster employed directly by the insurer.</t>
  </si>
  <si>
    <t xml:space="preserve">The insurer's own adjuster handles your auto claim.</t>
  </si>
  <si>
    <t xml:space="preserve">claims-adjuster, independent-adjuster</t>
  </si>
  <si>
    <t xml:space="preserve">standard-reinsurance-agreement</t>
  </si>
  <si>
    <t xml:space="preserve">Standard Reinsurance Agreement</t>
  </si>
  <si>
    <t xml:space="preserve">SRA</t>
  </si>
  <si>
    <t xml:space="preserve">Agriculture, Social/Government, Reinsurance</t>
  </si>
  <si>
    <t xml:space="preserve">The contract between the FCIC and private crop insurers setting how losses and gains are shared.</t>
  </si>
  <si>
    <t xml:space="preserve">The SRA governs a crop insurer's risk sharing with the government.</t>
  </si>
  <si>
    <t xml:space="preserve">State Department of Insurance</t>
  </si>
  <si>
    <t xml:space="preserve">DOI; Insurance Department</t>
  </si>
  <si>
    <t xml:space="preserve">The state agency that licenses insurers and agents, approves rates and forms, and handles consumer complaints.</t>
  </si>
  <si>
    <t xml:space="preserve">You file a complaint against your insurer with the Texas Department of Insurance.</t>
  </si>
  <si>
    <t xml:space="preserve">insurance-commissioner, naic</t>
  </si>
  <si>
    <t xml:space="preserve">Each of the 50 states, D.C. and territories has its own regulator.</t>
  </si>
  <si>
    <t xml:space="preserve">stated-value</t>
  </si>
  <si>
    <t xml:space="preserve">Stated Value</t>
  </si>
  <si>
    <t xml:space="preserve">A value listed on the policy, but the insurer pays the lesser of that value or actual cash value.</t>
  </si>
  <si>
    <t xml:space="preserve">A car with a $20,000 stated value may still be paid at $15,000 ACV.</t>
  </si>
  <si>
    <t xml:space="preserve">agreed-value, actual-cash-value</t>
  </si>
  <si>
    <t xml:space="preserve">statistical-plan</t>
  </si>
  <si>
    <t xml:space="preserve">Statistical Plan</t>
  </si>
  <si>
    <t xml:space="preserve">The coding rules and formats insurers must use for statistical reporting.</t>
  </si>
  <si>
    <t xml:space="preserve">The ISO personal auto statistical plan codes each coverage.</t>
  </si>
  <si>
    <t xml:space="preserve">Statistical Reporting</t>
  </si>
  <si>
    <t xml:space="preserve">Stat Reporting</t>
  </si>
  <si>
    <t xml:space="preserve">Sending detailed premium and loss data to statistical agents like ISO or NCCI as required by states.</t>
  </si>
  <si>
    <t xml:space="preserve">Monthly data sent to ISO under its statistical plan.</t>
  </si>
  <si>
    <t xml:space="preserve">iso, ncci, statistical-plan</t>
  </si>
  <si>
    <t xml:space="preserve">statutory-accounting-principles</t>
  </si>
  <si>
    <t xml:space="preserve">Statutory Accounting Principles</t>
  </si>
  <si>
    <t xml:space="preserve">SAP</t>
  </si>
  <si>
    <t xml:space="preserve">The conservative accounting rules insurers use for reports to state regulators, focused on ability to pay claims.</t>
  </si>
  <si>
    <t xml:space="preserve">SAP requires acquisition costs to be expensed immediately.</t>
  </si>
  <si>
    <t xml:space="preserve">gaap, annual-statement, naic</t>
  </si>
  <si>
    <t xml:space="preserve">stock-insurance-company</t>
  </si>
  <si>
    <t xml:space="preserve">Stock Insurance Company</t>
  </si>
  <si>
    <t xml:space="preserve">An insurer owned by shareholders who expect profits.</t>
  </si>
  <si>
    <t xml:space="preserve">A publicly traded insurer like Allstate.</t>
  </si>
  <si>
    <t xml:space="preserve">stoli</t>
  </si>
  <si>
    <t xml:space="preserve">STOLI</t>
  </si>
  <si>
    <t xml:space="preserve">Stranger-Originated Life Insurance</t>
  </si>
  <si>
    <t xml:space="preserve">A scheme where investors arrange for someone to buy life insurance on themselves, intending to sell it to the investors.</t>
  </si>
  <si>
    <t xml:space="preserve">A senior is paid to take out a policy that is transferred to an investor.</t>
  </si>
  <si>
    <t xml:space="preserve">insurable-interest, life-settlement</t>
  </si>
  <si>
    <t xml:space="preserve">Prohibited in most states.</t>
  </si>
  <si>
    <t xml:space="preserve">stop-loss-insurance</t>
  </si>
  <si>
    <t xml:space="preserve">Stop-Loss Insurance</t>
  </si>
  <si>
    <t xml:space="preserve">Excess Risk Insurance</t>
  </si>
  <si>
    <t xml:space="preserve">Insurance that protects self-funded employers against unexpectedly high claims.</t>
  </si>
  <si>
    <t xml:space="preserve">Stop-loss pays for any employee's claims above $100,000.</t>
  </si>
  <si>
    <t xml:space="preserve">self-funded-plan, specific-stop-loss, aggregate-stop-loss</t>
  </si>
  <si>
    <t xml:space="preserve">straight-through-processing</t>
  </si>
  <si>
    <t xml:space="preserve">Straight-Through Processing</t>
  </si>
  <si>
    <t xml:space="preserve">STP</t>
  </si>
  <si>
    <t xml:space="preserve">Handling a quote, policy or claim fully automatically without human touch.</t>
  </si>
  <si>
    <t xml:space="preserve">70% of renters policies are issued with STP.</t>
  </si>
  <si>
    <t xml:space="preserve">underwriting-rules-engine, auto-adjudication</t>
  </si>
  <si>
    <t xml:space="preserve">strict-liability</t>
  </si>
  <si>
    <t xml:space="preserve">Strict Liability</t>
  </si>
  <si>
    <t xml:space="preserve">Being legally responsible for harm even if you were not careless.</t>
  </si>
  <si>
    <t xml:space="preserve">A manufacturer may be strictly liable for a defective product that injures someone.</t>
  </si>
  <si>
    <t xml:space="preserve">product-liability-insurance, liability, negligence</t>
  </si>
  <si>
    <t xml:space="preserve">sub-account</t>
  </si>
  <si>
    <t xml:space="preserve">Sub-Account</t>
  </si>
  <si>
    <t xml:space="preserve">An investment option in a variable policy or annuity, similar to a mutual fund.</t>
  </si>
  <si>
    <t xml:space="preserve">You split money among five sub-accounts.</t>
  </si>
  <si>
    <t xml:space="preserve">variable-annuity, variable-universal-life</t>
  </si>
  <si>
    <t xml:space="preserve">sublimit</t>
  </si>
  <si>
    <t xml:space="preserve">Sublimit</t>
  </si>
  <si>
    <t xml:space="preserve">A smaller limit within the main limit that applies to a particular type of loss or property.</t>
  </si>
  <si>
    <t xml:space="preserve">A home policy may cap jewelry theft at $1,500 even though personal property is covered up to $100,000.</t>
  </si>
  <si>
    <t xml:space="preserve">limit-of-liability, scheduled-personal-property, endorsement</t>
  </si>
  <si>
    <t xml:space="preserve">submission</t>
  </si>
  <si>
    <t xml:space="preserve">Submission</t>
  </si>
  <si>
    <t xml:space="preserve">The package of information a broker sends an insurer to request a commercial quote.</t>
  </si>
  <si>
    <t xml:space="preserve">A broker submits applications, loss runs and financials for a manufacturer.</t>
  </si>
  <si>
    <t xml:space="preserve">Agent/broker communications, Underwriting system</t>
  </si>
  <si>
    <t xml:space="preserve">quote, loss-run, application, clearance</t>
  </si>
  <si>
    <t xml:space="preserve">subrogation</t>
  </si>
  <si>
    <t xml:space="preserve">Subrogation</t>
  </si>
  <si>
    <t xml:space="preserve">After paying your claim, the insurer takes over your right to recover the money from whoever caused the loss.</t>
  </si>
  <si>
    <t xml:space="preserve">Your insurer pays for your car after someone rear-ends you, then sues the other driver's insurer to get its money back.</t>
  </si>
  <si>
    <t xml:space="preserve">waiver-of-subrogation, indemnity, recovery, salvage</t>
  </si>
  <si>
    <t xml:space="preserve">Some states have 'made-whole' rules that limit health insurer subrogation until you are fully compensated.</t>
  </si>
  <si>
    <t xml:space="preserve">subrogation-demand</t>
  </si>
  <si>
    <t xml:space="preserve">Subrogation Demand</t>
  </si>
  <si>
    <t xml:space="preserve">A request sent to a responsible party or their insurer to repay the claim.</t>
  </si>
  <si>
    <t xml:space="preserve">Your insurer sends a subrogation demand to the at-fault driver's carrier.</t>
  </si>
  <si>
    <t xml:space="preserve">subrogation, inter-company-arbitration</t>
  </si>
  <si>
    <t xml:space="preserve">sudden-and-accidental</t>
  </si>
  <si>
    <t xml:space="preserve">Sudden and Accidental</t>
  </si>
  <si>
    <t xml:space="preserve">Wording meaning damage must happen quickly and unexpectedly, not over time, to be covered.</t>
  </si>
  <si>
    <t xml:space="preserve">A burst pipe is sudden; a slow leak over months isn't.</t>
  </si>
  <si>
    <t xml:space="preserve">wear-and-tear, exclusion</t>
  </si>
  <si>
    <t xml:space="preserve">suicide-clause</t>
  </si>
  <si>
    <t xml:space="preserve">Suicide Clause</t>
  </si>
  <si>
    <t xml:space="preserve">Suicide Exclusion</t>
  </si>
  <si>
    <t xml:space="preserve">A clause saying the policy won't pay the full death benefit if the insured dies by suicide within a set period, usually two years; premiums are refunded instead.</t>
  </si>
  <si>
    <t xml:space="preserve">A death by suicide in year one results in a refund of premiums.</t>
  </si>
  <si>
    <t xml:space="preserve">incontestability-clause, exclusion</t>
  </si>
  <si>
    <t xml:space="preserve">Usually 2 years; 1 year in a few states such as Colorado and North Dakota.</t>
  </si>
  <si>
    <t xml:space="preserve">suitability</t>
  </si>
  <si>
    <t xml:space="preserve">Suitability</t>
  </si>
  <si>
    <t xml:space="preserve">Best Interest Standard</t>
  </si>
  <si>
    <t xml:space="preserve">A requirement that an agent recommend annuities or policies that fit the customer's needs and finances.</t>
  </si>
  <si>
    <t xml:space="preserve">An agent documents why a fixed annuity suits a 70-year-old's goals.</t>
  </si>
  <si>
    <t xml:space="preserve">Regulatory filings, Application form</t>
  </si>
  <si>
    <t xml:space="preserve">annuity, replacement</t>
  </si>
  <si>
    <t xml:space="preserve">Most states adopted the 2020 NAIC Best Interest annuity model.</t>
  </si>
  <si>
    <t xml:space="preserve">summary-of-benefits-and-coverage</t>
  </si>
  <si>
    <t xml:space="preserve">Summary of Benefits and Coverage</t>
  </si>
  <si>
    <t xml:space="preserve">SBC</t>
  </si>
  <si>
    <t xml:space="preserve">A standard, easy-to-read summary of a health plan's costs and coverage, required by the ACA.</t>
  </si>
  <si>
    <t xml:space="preserve">You compare two plans using their SBCs.</t>
  </si>
  <si>
    <t xml:space="preserve">summary-plan-description</t>
  </si>
  <si>
    <t xml:space="preserve">Summary Plan Description</t>
  </si>
  <si>
    <t xml:space="preserve">SPD</t>
  </si>
  <si>
    <t xml:space="preserve">A document required by ERISA explaining an employee benefit plan's benefits, rights and procedures.</t>
  </si>
  <si>
    <t xml:space="preserve">Your HR portal has the SPD for the company's health plan.</t>
  </si>
  <si>
    <t xml:space="preserve">erisa, summary-of-benefits-and-coverage</t>
  </si>
  <si>
    <t xml:space="preserve">supplement</t>
  </si>
  <si>
    <t xml:space="preserve">Supplement</t>
  </si>
  <si>
    <t xml:space="preserve">Supplemental Claim</t>
  </si>
  <si>
    <t xml:space="preserve">An additional request for payment when hidden damage is found after the first estimate.</t>
  </si>
  <si>
    <t xml:space="preserve">The shop finds a broken frame part and files a $900 supplement.</t>
  </si>
  <si>
    <t xml:space="preserve">supplemental-insurance</t>
  </si>
  <si>
    <t xml:space="preserve">Supplemental Insurance</t>
  </si>
  <si>
    <t xml:space="preserve">Voluntary Benefits</t>
  </si>
  <si>
    <t xml:space="preserve">Optional policies paid by employees, such as accident, critical illness or hospital indemnity, to supplement core coverage.</t>
  </si>
  <si>
    <t xml:space="preserve">An employee adds cancer insurance through payroll deduction.</t>
  </si>
  <si>
    <t xml:space="preserve">critical-illness-insurance, accident-insurance</t>
  </si>
  <si>
    <t xml:space="preserve">supplementary-payments</t>
  </si>
  <si>
    <t xml:space="preserve">Costs the insurer pays in addition to the limit, such as bail bonds, court costs and interest.</t>
  </si>
  <si>
    <t xml:space="preserve">The insurer pays court costs and post-judgment interest.</t>
  </si>
  <si>
    <t xml:space="preserve">surety</t>
  </si>
  <si>
    <t xml:space="preserve">Surety</t>
  </si>
  <si>
    <t xml:space="preserve">The company that issues a bond and guarantees the principal's obligation.</t>
  </si>
  <si>
    <t xml:space="preserve">An insurance company acting as surety.</t>
  </si>
  <si>
    <t xml:space="preserve">Surety Bond</t>
  </si>
  <si>
    <t xml:space="preserve">Bond</t>
  </si>
  <si>
    <t xml:space="preserve">A three-party guarantee that one party (the principal) will fulfill an obligation to another (the obligee); if not, the surety pays and seeks repayment from the principal.</t>
  </si>
  <si>
    <t xml:space="preserve">A contractor's performance bond guarantees completion of a school.</t>
  </si>
  <si>
    <t xml:space="preserve">principal, obligee, surety, performance-bond, indemnity-agreement</t>
  </si>
  <si>
    <t xml:space="preserve">Treasury Circular 570 lists sureties approved for federal bonds.</t>
  </si>
  <si>
    <t xml:space="preserve">Surplus Lines</t>
  </si>
  <si>
    <t xml:space="preserve">Excess and Surplus Lines; E&amp;S</t>
  </si>
  <si>
    <t xml:space="preserve">Insurance for risks the standard admitted market won't cover, placed with non-admitted insurers.</t>
  </si>
  <si>
    <t xml:space="preserve">A fireworks manufacturer buys GL in the E&amp;S market.</t>
  </si>
  <si>
    <t xml:space="preserve">Regulatory filings, Agent/broker communications</t>
  </si>
  <si>
    <t xml:space="preserve">non-admitted-insurer, surplus-lines-broker, diligent-search</t>
  </si>
  <si>
    <t xml:space="preserve">The Nonadmitted and Reinsurance Reform Act (NRRA, 2010) gives the insured's home state sole authority to tax.</t>
  </si>
  <si>
    <t xml:space="preserve">surplus-lines-broker</t>
  </si>
  <si>
    <t xml:space="preserve">Surplus Lines Broker</t>
  </si>
  <si>
    <t xml:space="preserve">Excess and Surplus Lines Broker</t>
  </si>
  <si>
    <t xml:space="preserve">A specially licensed broker who can place coverage with non-admitted insurers.</t>
  </si>
  <si>
    <t xml:space="preserve">A broker places a coastal condo with a surplus lines carrier.</t>
  </si>
  <si>
    <t xml:space="preserve">Agent/broker communications, Regulatory filings</t>
  </si>
  <si>
    <t xml:space="preserve">surplus-lines, non-admitted-insurer, diligent-search</t>
  </si>
  <si>
    <t xml:space="preserve">Must file and pay surplus lines taxes in the insured's home state.</t>
  </si>
  <si>
    <t xml:space="preserve">surplus-treaty</t>
  </si>
  <si>
    <t xml:space="preserve">Surplus Treaty</t>
  </si>
  <si>
    <t xml:space="preserve">Surplus Share</t>
  </si>
  <si>
    <t xml:space="preserve">A proportional treaty where the reinsurer takes the part of each risk above the insurer's retention line, in proportion.</t>
  </si>
  <si>
    <t xml:space="preserve">The insurer keeps $1M per risk and cedes the surplus up to $9M.</t>
  </si>
  <si>
    <t xml:space="preserve">proportional-reinsurance, quota-share, line</t>
  </si>
  <si>
    <t xml:space="preserve">surrender-charge</t>
  </si>
  <si>
    <t xml:space="preserve">Surrender Charge</t>
  </si>
  <si>
    <t xml:space="preserve">A fee charged if you cancel a life policy or annuity in its early years.</t>
  </si>
  <si>
    <t xml:space="preserve">A 7% surrender charge in year one, declining yearly.</t>
  </si>
  <si>
    <t xml:space="preserve">cash-surrender-value, annuity</t>
  </si>
  <si>
    <t xml:space="preserve">Survivorship Life</t>
  </si>
  <si>
    <t xml:space="preserve">Second-to-Die; Joint Last-to-Die</t>
  </si>
  <si>
    <t xml:space="preserve">A policy on two people that pays only after both have died, often used for estate planning.</t>
  </si>
  <si>
    <t xml:space="preserve">A couple buys survivorship life to pay estate taxes.</t>
  </si>
  <si>
    <t xml:space="preserve">syndicate</t>
  </si>
  <si>
    <t xml:space="preserve">Syndicate</t>
  </si>
  <si>
    <t xml:space="preserve">A group of members at Lloyd's that underwrites insurance together, managed by a managing agent.</t>
  </si>
  <si>
    <t xml:space="preserve">Syndicate 2623 writes marine risks.</t>
  </si>
  <si>
    <t xml:space="preserve">table-rating</t>
  </si>
  <si>
    <t xml:space="preserve">Table Rating</t>
  </si>
  <si>
    <t xml:space="preserve">Substandard Rating</t>
  </si>
  <si>
    <t xml:space="preserve">An extra premium charged for higher-risk life applicants, often in steps of 25% above standard.</t>
  </si>
  <si>
    <t xml:space="preserve">Table 4 adds 100% to the standard premium.</t>
  </si>
  <si>
    <t xml:space="preserve">risk-class, flat-extra</t>
  </si>
  <si>
    <t xml:space="preserve">tail-coverage</t>
  </si>
  <si>
    <t xml:space="preserve">Tail Coverage</t>
  </si>
  <si>
    <t xml:space="preserve">Tail</t>
  </si>
  <si>
    <t xml:space="preserve">Another name for an extended reporting period, bought when a claims-made policy ends.</t>
  </si>
  <si>
    <t xml:space="preserve">A physician leaving a practice buys tail coverage.</t>
  </si>
  <si>
    <t xml:space="preserve">extended-reporting-period, nose-coverage</t>
  </si>
  <si>
    <t xml:space="preserve">technology-errors-omissions</t>
  </si>
  <si>
    <t xml:space="preserve">Technology E&amp;O</t>
  </si>
  <si>
    <t xml:space="preserve">Tech E&amp;O</t>
  </si>
  <si>
    <t xml:space="preserve">Professional liability for technology companies whose products or services fail and cause client losses.</t>
  </si>
  <si>
    <t xml:space="preserve">A software bug causes a client's billing errors.</t>
  </si>
  <si>
    <t xml:space="preserve">errors-and-omissions-insurance, cyber-insurance</t>
  </si>
  <si>
    <t xml:space="preserve">telematics</t>
  </si>
  <si>
    <t xml:space="preserve">Telematics</t>
  </si>
  <si>
    <t xml:space="preserve">Technology that collects driving data like speed, braking and mileage from devices or phones.</t>
  </si>
  <si>
    <t xml:space="preserve">A fleet uses telematics to monitor drivers.</t>
  </si>
  <si>
    <t xml:space="preserve">usage-based-insurance</t>
  </si>
  <si>
    <t xml:space="preserve">Term Life Insurance</t>
  </si>
  <si>
    <t xml:space="preserve">Term Insurance</t>
  </si>
  <si>
    <t xml:space="preserve">Life insurance that covers you for a set period, like 10, 20 or 30 years, and pays only if you die during that time.</t>
  </si>
  <si>
    <t xml:space="preserve">A 20-year $500,000 term policy for a young parent.</t>
  </si>
  <si>
    <t xml:space="preserve">permanent-life-insurance, level-term, convertible-term</t>
  </si>
  <si>
    <t xml:space="preserve">term-rider</t>
  </si>
  <si>
    <t xml:space="preserve">Term Rider</t>
  </si>
  <si>
    <t xml:space="preserve">Child Term Rider</t>
  </si>
  <si>
    <t xml:space="preserve">A rider adding term coverage for the insured or family members to a base policy.</t>
  </si>
  <si>
    <t xml:space="preserve">A child term rider covers each child for $10,000.</t>
  </si>
  <si>
    <t xml:space="preserve">territory</t>
  </si>
  <si>
    <t xml:space="preserve">Territory</t>
  </si>
  <si>
    <t xml:space="preserve">Rating Territory</t>
  </si>
  <si>
    <t xml:space="preserve">A geographic area used as a rating factor because losses differ by location.</t>
  </si>
  <si>
    <t xml:space="preserve">Urban ZIP codes are in a higher-rated auto territory.</t>
  </si>
  <si>
    <t xml:space="preserve">rating-factor, base-rate</t>
  </si>
  <si>
    <t xml:space="preserve">terrorism-exclusion</t>
  </si>
  <si>
    <t xml:space="preserve">Terrorism Exclusion</t>
  </si>
  <si>
    <t xml:space="preserve">Excludes loss from terrorism when the insured rejects TRIA coverage or for acts outside TRIA.</t>
  </si>
  <si>
    <t xml:space="preserve">A policyholder rejected TRIA; terrorism losses excluded.</t>
  </si>
  <si>
    <t xml:space="preserve">terrorism-risk-insurance-act</t>
  </si>
  <si>
    <t xml:space="preserve">Terrorism Risk Insurance Act</t>
  </si>
  <si>
    <t xml:space="preserve">TRIA; TRIPRA</t>
  </si>
  <si>
    <t xml:space="preserve">A federal program where the government shares insured losses from certified terrorist attacks above set thresholds; insurers must offer terrorism coverage.</t>
  </si>
  <si>
    <t xml:space="preserve">A commercial policyholder accepts or rejects terrorism coverage at binding.</t>
  </si>
  <si>
    <t xml:space="preserve">war-exclusion, terrorism-exclusion</t>
  </si>
  <si>
    <t xml:space="preserve">Reauthorized through 2027.</t>
  </si>
  <si>
    <t xml:space="preserve">third-party</t>
  </si>
  <si>
    <t xml:space="preserve">Third Party</t>
  </si>
  <si>
    <t xml:space="preserve">Someone other than you or your insurer who may make a claim against you.</t>
  </si>
  <si>
    <t xml:space="preserve">A pedestrian injured by your car is a third party.</t>
  </si>
  <si>
    <t xml:space="preserve">first-party-coverage, third-party-coverage, claimant</t>
  </si>
  <si>
    <t xml:space="preserve">third-party-administrator</t>
  </si>
  <si>
    <t xml:space="preserve">Third-Party Administrator</t>
  </si>
  <si>
    <t xml:space="preserve">TPA</t>
  </si>
  <si>
    <t xml:space="preserve">A company hired to handle claims or administration for an insurer or self-insured organization.</t>
  </si>
  <si>
    <t xml:space="preserve">A TPA processes workers' comp claims for a self-insured employer.</t>
  </si>
  <si>
    <t xml:space="preserve">self-insurance, administrative-services-only</t>
  </si>
  <si>
    <t xml:space="preserve">Many states license TPAs.</t>
  </si>
  <si>
    <t xml:space="preserve">third-party-coverage</t>
  </si>
  <si>
    <t xml:space="preserve">Third-Party Coverage</t>
  </si>
  <si>
    <t xml:space="preserve">Liability Coverage</t>
  </si>
  <si>
    <t xml:space="preserve">Insurance that pays others you are legally responsible for injuring or harming.</t>
  </si>
  <si>
    <t xml:space="preserve">Your auto liability pays for the other driver's hospital bills.</t>
  </si>
  <si>
    <t xml:space="preserve">first-party-coverage, liability</t>
  </si>
  <si>
    <t xml:space="preserve">third-party-data</t>
  </si>
  <si>
    <t xml:space="preserve">Third-Party Data</t>
  </si>
  <si>
    <t xml:space="preserve">Prefill</t>
  </si>
  <si>
    <t xml:space="preserve">Data from outside providers used to prefill applications or enrich underwriting, like property characteristics or driving records.</t>
  </si>
  <si>
    <t xml:space="preserve">Prefill fills in square footage and roof age.</t>
  </si>
  <si>
    <t xml:space="preserve">clue-report, motor-vehicle-report</t>
  </si>
  <si>
    <t xml:space="preserve">Use of consumer data is regulated by FCRA and state rules.</t>
  </si>
  <si>
    <t xml:space="preserve">third-party-epli</t>
  </si>
  <si>
    <t xml:space="preserve">Third-Party EPLI</t>
  </si>
  <si>
    <t xml:space="preserve">EPLI coverage for discrimination or harassment claims by customers or vendors.</t>
  </si>
  <si>
    <t xml:space="preserve">A customer alleges harassment by a salesperson.</t>
  </si>
  <si>
    <t xml:space="preserve">title-insurance</t>
  </si>
  <si>
    <t xml:space="preserve">Title Insurance</t>
  </si>
  <si>
    <t xml:space="preserve">Protects property buyers and lenders against losses from defects in the property's legal title, like undisclosed liens.</t>
  </si>
  <si>
    <t xml:space="preserve">A forged prior deed is discovered after you buy.</t>
  </si>
  <si>
    <t xml:space="preserve">Paid once at closing; rates are regulated or promulgated in some states like Texas.</t>
  </si>
  <si>
    <t xml:space="preserve">tobacco-rating</t>
  </si>
  <si>
    <t xml:space="preserve">Tobacco Rating</t>
  </si>
  <si>
    <t xml:space="preserve">Smoker Rate</t>
  </si>
  <si>
    <t xml:space="preserve">Higher premiums for people who use tobacco or nicotine.</t>
  </si>
  <si>
    <t xml:space="preserve">Smokers pay two to three times more for term life.</t>
  </si>
  <si>
    <t xml:space="preserve">risk-class, rating-factor</t>
  </si>
  <si>
    <t xml:space="preserve">ACA allows up to 1.5x tobacco surcharge for health plans.</t>
  </si>
  <si>
    <t xml:space="preserve">tort</t>
  </si>
  <si>
    <t xml:space="preserve">Tort</t>
  </si>
  <si>
    <t xml:space="preserve">A wrongful act, other than a breach of contract, that harms someone and allows them to sue for damages.</t>
  </si>
  <si>
    <t xml:space="preserve">Negligent driving that injures a pedestrian is a tort.</t>
  </si>
  <si>
    <t xml:space="preserve">negligence, liability, damages</t>
  </si>
  <si>
    <t xml:space="preserve">tort-threshold</t>
  </si>
  <si>
    <t xml:space="preserve">Tort Threshold</t>
  </si>
  <si>
    <t xml:space="preserve">The level of injury or cost that must be reached before you can sue in a no-fault state.</t>
  </si>
  <si>
    <t xml:space="preserve">You can sue only for 'serious injury' in New York.</t>
  </si>
  <si>
    <t xml:space="preserve">total-incurred</t>
  </si>
  <si>
    <t xml:space="preserve">Total Incurred</t>
  </si>
  <si>
    <t xml:space="preserve">Incurred Loss</t>
  </si>
  <si>
    <t xml:space="preserve">Paid losses plus case reserves for a claim or group of claims.</t>
  </si>
  <si>
    <t xml:space="preserve">Paid $30,000 plus reserve $20,000 equals $50,000 incurred.</t>
  </si>
  <si>
    <t xml:space="preserve">incurred-losses, claim-reserve, paid-losses</t>
  </si>
  <si>
    <t xml:space="preserve">Total Loss</t>
  </si>
  <si>
    <t xml:space="preserve">Write-Off</t>
  </si>
  <si>
    <t xml:space="preserve">When insured property is destroyed or repair costs exceed its value (or a set percentage of it).</t>
  </si>
  <si>
    <t xml:space="preserve">A car with $9,000 damage worth $10,000 is a total loss.</t>
  </si>
  <si>
    <t xml:space="preserve">constructive-total-loss, actual-cash-value, salvage, total-loss-threshold</t>
  </si>
  <si>
    <t xml:space="preserve">total-loss-threshold</t>
  </si>
  <si>
    <t xml:space="preserve">Total Loss Threshold</t>
  </si>
  <si>
    <t xml:space="preserve">TLT</t>
  </si>
  <si>
    <t xml:space="preserve">The percentage of vehicle value at which a state requires or allows a car to be declared a total loss.</t>
  </si>
  <si>
    <t xml:space="preserve">In a 75% state, $7,500 damage to a $10,000 car is a total loss.</t>
  </si>
  <si>
    <t xml:space="preserve">total-loss, salvage-title</t>
  </si>
  <si>
    <t xml:space="preserve">Set by each state, often 60–100%; some states use a total loss formula.</t>
  </si>
  <si>
    <t xml:space="preserve">tower</t>
  </si>
  <si>
    <t xml:space="preserve">Tower</t>
  </si>
  <si>
    <t xml:space="preserve">Insurance Tower; Program</t>
  </si>
  <si>
    <t xml:space="preserve">A stack of primary and excess policies providing large total limits.</t>
  </si>
  <si>
    <t xml:space="preserve">A company buys a $100M liability tower made of ten layers.</t>
  </si>
  <si>
    <t xml:space="preserve">layer, excess-insurance, attachment-point</t>
  </si>
  <si>
    <t xml:space="preserve">trade-credit-insurance</t>
  </si>
  <si>
    <t xml:space="preserve">Trade Credit Insurance</t>
  </si>
  <si>
    <t xml:space="preserve">Credit Insurance (Commercial)</t>
  </si>
  <si>
    <t xml:space="preserve">Protects businesses against customers not paying invoices due to insolvency or default.</t>
  </si>
  <si>
    <t xml:space="preserve">A supplier is paid when a retailer goes bankrupt.</t>
  </si>
  <si>
    <t xml:space="preserve">transaction-type</t>
  </si>
  <si>
    <t xml:space="preserve">Transaction Type</t>
  </si>
  <si>
    <t xml:space="preserve">The kind of policy change recorded in a system, like new business, endorsement, cancellation, reinstatement or renewal.</t>
  </si>
  <si>
    <t xml:space="preserve">A 'REI' transaction reinstates a cancelled policy.</t>
  </si>
  <si>
    <t xml:space="preserve">mid-term-adjustment, reinstatement</t>
  </si>
  <si>
    <t xml:space="preserve">Travel Insurance</t>
  </si>
  <si>
    <t xml:space="preserve">Covers trip cancellation, medical emergencies abroad, lost luggage and delays.</t>
  </si>
  <si>
    <t xml:space="preserve">Illness cancels your cruise and you're reimbursed.</t>
  </si>
  <si>
    <t xml:space="preserve">trip-cancellation, emergency-medical-evacuation</t>
  </si>
  <si>
    <t xml:space="preserve">Treaty Reinsurance</t>
  </si>
  <si>
    <t xml:space="preserve">Treaty</t>
  </si>
  <si>
    <t xml:space="preserve">A reinsurance agreement covering a whole class or portfolio of policies automatically.</t>
  </si>
  <si>
    <t xml:space="preserve">All homeowners policies in Texas are ceded under one treaty.</t>
  </si>
  <si>
    <t xml:space="preserve">facultative-reinsurance, quota-share, excess-of-loss</t>
  </si>
  <si>
    <t xml:space="preserve">treaty-renewal-date</t>
  </si>
  <si>
    <t xml:space="preserve">Treaty Renewal Date</t>
  </si>
  <si>
    <t xml:space="preserve">1/1 Renewal; 6/1 Renewal</t>
  </si>
  <si>
    <t xml:space="preserve">Common dates when reinsurance treaties renew, such as January 1 or June 1 (Florida).</t>
  </si>
  <si>
    <t xml:space="preserve">Florida insurers buy cat reinsurance at the 6/1 renewals.</t>
  </si>
  <si>
    <t xml:space="preserve">Trip Cancellation Insurance</t>
  </si>
  <si>
    <t xml:space="preserve">Reimburses prepaid, non-refundable trip costs if you must cancel for a covered reason.</t>
  </si>
  <si>
    <t xml:space="preserve">A family emergency cancels a $5,000 trip.</t>
  </si>
  <si>
    <t xml:space="preserve">travel-insurance, cancel-for-any-reason</t>
  </si>
  <si>
    <t xml:space="preserve">twisting</t>
  </si>
  <si>
    <t xml:space="preserve">Twisting</t>
  </si>
  <si>
    <t xml:space="preserve">Persuading someone to replace an existing policy through misleading comparisons, to the customer's detriment.</t>
  </si>
  <si>
    <t xml:space="preserve">An agent exaggerates a new policy's benefits to earn a commission.</t>
  </si>
  <si>
    <t xml:space="preserve">churning, replacement</t>
  </si>
  <si>
    <t xml:space="preserve">ub-04</t>
  </si>
  <si>
    <t xml:space="preserve">UB-04</t>
  </si>
  <si>
    <t xml:space="preserve">CMS-1450; 837I</t>
  </si>
  <si>
    <t xml:space="preserve">The standard claim form (and 837I electronic equivalent) used by hospitals and other institutions to bill health plans.</t>
  </si>
  <si>
    <t xml:space="preserve">A hospital bills a stay on a UB-04.</t>
  </si>
  <si>
    <t xml:space="preserve">cms-1500, edi-837</t>
  </si>
  <si>
    <t xml:space="preserve">uberrimae-fidei</t>
  </si>
  <si>
    <t xml:space="preserve">Uberrimae Fidei</t>
  </si>
  <si>
    <t xml:space="preserve">Latin for 'of the utmost good faith'. It is the legal principle that parties to an insurance contract must disclose all important facts honestly.</t>
  </si>
  <si>
    <t xml:space="preserve">Marine insurance law applies uberrimae fidei strictly, so an undisclosed fact can void the cover.</t>
  </si>
  <si>
    <t xml:space="preserve">In the US it is applied strongly in marine insurance under federal maritime law; other lines follow state misrepresentation statutes.</t>
  </si>
  <si>
    <t xml:space="preserve">ultimate-loss</t>
  </si>
  <si>
    <t xml:space="preserve">Ultimate Loss</t>
  </si>
  <si>
    <t xml:space="preserve">Ultimate</t>
  </si>
  <si>
    <t xml:space="preserve">The final total cost of all claims for a period once every claim is closed.</t>
  </si>
  <si>
    <t xml:space="preserve">Estimated ultimate losses of $80M for accident year 2024.</t>
  </si>
  <si>
    <t xml:space="preserve">loss-development-factor, ibnr</t>
  </si>
  <si>
    <t xml:space="preserve">umbrella-insurance</t>
  </si>
  <si>
    <t xml:space="preserve">Umbrella Insurance</t>
  </si>
  <si>
    <t xml:space="preserve">Umbrella Policy; Personal Umbrella</t>
  </si>
  <si>
    <t xml:space="preserve">Extra liability coverage above your auto, home or business liability policies, which may also cover some gaps.</t>
  </si>
  <si>
    <t xml:space="preserve">A $1M personal umbrella pays after your auto limit is used up.</t>
  </si>
  <si>
    <t xml:space="preserve">excess-insurance, drop-down, underlying-insurance</t>
  </si>
  <si>
    <t xml:space="preserve">umpire</t>
  </si>
  <si>
    <t xml:space="preserve">Umpire</t>
  </si>
  <si>
    <t xml:space="preserve">A neutral person who decides amounts on which the two appraisers can't agree.</t>
  </si>
  <si>
    <t xml:space="preserve">The umpire sides with your appraiser's $18,000 estimate.</t>
  </si>
  <si>
    <t xml:space="preserve">unallocated-loss-adjustment-expense</t>
  </si>
  <si>
    <t xml:space="preserve">Unallocated Loss Adjustment Expense</t>
  </si>
  <si>
    <t xml:space="preserve">ULAE; AO (Adjusting and Other)</t>
  </si>
  <si>
    <t xml:space="preserve">General claim department costs that can't be tied to a specific claim, such as salaries and office rent.</t>
  </si>
  <si>
    <t xml:space="preserve">Claims staff salaries are ULAE.</t>
  </si>
  <si>
    <t xml:space="preserve">loss-adjustment-expense, allocated-loss-adjustment-expense</t>
  </si>
  <si>
    <t xml:space="preserve">underinsurance</t>
  </si>
  <si>
    <t xml:space="preserve">Underinsurance</t>
  </si>
  <si>
    <t xml:space="preserve">Having insurance limits lower than the true value of the property, which can reduce claim payments.</t>
  </si>
  <si>
    <t xml:space="preserve">A house worth $400,000 insured for $250,000 is underinsured.</t>
  </si>
  <si>
    <t xml:space="preserve">coinsurance-clause, insurance-to-value, average</t>
  </si>
  <si>
    <t xml:space="preserve">underinsured-motorist-coverage</t>
  </si>
  <si>
    <t xml:space="preserve">Underinsured Motorist Coverage</t>
  </si>
  <si>
    <t xml:space="preserve">UIM</t>
  </si>
  <si>
    <t xml:space="preserve">Pays when the at-fault driver's insurance isn't enough to cover your injuries.</t>
  </si>
  <si>
    <t xml:space="preserve">The other driver has $25,000 limits; your UIM covers the rest.</t>
  </si>
  <si>
    <t xml:space="preserve">uninsured-motorist-coverage</t>
  </si>
  <si>
    <t xml:space="preserve">underlying-insurance</t>
  </si>
  <si>
    <t xml:space="preserve">Underlying Insurance</t>
  </si>
  <si>
    <t xml:space="preserve">Schedule of Underlying</t>
  </si>
  <si>
    <t xml:space="preserve">The primary policies that must be in place beneath an umbrella or excess policy.</t>
  </si>
  <si>
    <t xml:space="preserve">An umbrella requires $250k/$500k auto liability underneath.</t>
  </si>
  <si>
    <t xml:space="preserve">umbrella-insurance, excess-insurance</t>
  </si>
  <si>
    <t xml:space="preserve">underwriter</t>
  </si>
  <si>
    <t xml:space="preserve">Underwriter</t>
  </si>
  <si>
    <t xml:space="preserve">The person who evaluates risks and decides whether and how to insure them.</t>
  </si>
  <si>
    <t xml:space="preserve">A commercial underwriter approves a warehouse policy with a sprinkler warranty.</t>
  </si>
  <si>
    <t xml:space="preserve">underwriting, underwriting-authority</t>
  </si>
  <si>
    <t xml:space="preserve">underwriting</t>
  </si>
  <si>
    <t xml:space="preserve">The process of evaluating a risk to decide whether to insure it and on what terms and price.</t>
  </si>
  <si>
    <t xml:space="preserve">An underwriter reviews a restaurant's fire safety and loss history.</t>
  </si>
  <si>
    <t xml:space="preserve">underwriter, underwriting-guidelines, risk-selection, rate</t>
  </si>
  <si>
    <t xml:space="preserve">underwriting-authority</t>
  </si>
  <si>
    <t xml:space="preserve">Underwriting Authority</t>
  </si>
  <si>
    <t xml:space="preserve">Binding Authority; Letter of Authority</t>
  </si>
  <si>
    <t xml:space="preserve">The limits within which an underwriter or agent can accept risks without approval from someone higher up.</t>
  </si>
  <si>
    <t xml:space="preserve">A junior underwriter can approve policies up to $1M limit.</t>
  </si>
  <si>
    <t xml:space="preserve">referral, binding-authority, managing-general-agent</t>
  </si>
  <si>
    <t xml:space="preserve">underwriting-cycle</t>
  </si>
  <si>
    <t xml:space="preserve">Underwriting Cycle</t>
  </si>
  <si>
    <t xml:space="preserve">Insurance Cycle</t>
  </si>
  <si>
    <t xml:space="preserve">The repeating pattern of hard and soft markets in the insurance industry.</t>
  </si>
  <si>
    <t xml:space="preserve">Profits attract capital, prices fall, losses follow, then prices rise again.</t>
  </si>
  <si>
    <t xml:space="preserve">hard-market, soft-market</t>
  </si>
  <si>
    <t xml:space="preserve">underwriting-guidelines</t>
  </si>
  <si>
    <t xml:space="preserve">Underwriting Guidelines</t>
  </si>
  <si>
    <t xml:space="preserve">Underwriting Manual</t>
  </si>
  <si>
    <t xml:space="preserve">An insurer's rules for which risks it accepts, declines or refers, and on what terms.</t>
  </si>
  <si>
    <t xml:space="preserve">The guidelines decline homes with roofs older than 20 years.</t>
  </si>
  <si>
    <t xml:space="preserve">underwriting, risk-appetite, referral</t>
  </si>
  <si>
    <t xml:space="preserve">underwriting-profit</t>
  </si>
  <si>
    <t xml:space="preserve">Underwriting Profit</t>
  </si>
  <si>
    <t xml:space="preserve">Underwriting Result</t>
  </si>
  <si>
    <t xml:space="preserve">Earned premium minus losses and expenses, excluding investment income.</t>
  </si>
  <si>
    <t xml:space="preserve">$100M premium minus $95M losses and expenses is $5M profit.</t>
  </si>
  <si>
    <t xml:space="preserve">combined-ratio, investment-income, operating-ratio</t>
  </si>
  <si>
    <t xml:space="preserve">underwriting-rules-engine</t>
  </si>
  <si>
    <t xml:space="preserve">Underwriting Rules Engine</t>
  </si>
  <si>
    <t xml:space="preserve">Rules Engine</t>
  </si>
  <si>
    <t xml:space="preserve">Software that automatically applies underwriting rules to accept, decline or refer risks.</t>
  </si>
  <si>
    <t xml:space="preserve">Rule: refer any home built before 1950.</t>
  </si>
  <si>
    <t xml:space="preserve">referral, straight-through-processing</t>
  </si>
  <si>
    <t xml:space="preserve">underwriting-workbench</t>
  </si>
  <si>
    <t xml:space="preserve">Underwriting Workbench</t>
  </si>
  <si>
    <t xml:space="preserve">A tool bringing together submissions, data, rules and workflow for underwriters in one place.</t>
  </si>
  <si>
    <t xml:space="preserve">An underwriter reviews a submission and third-party data on one screen.</t>
  </si>
  <si>
    <t xml:space="preserve">underwriting-rules-engine, submission</t>
  </si>
  <si>
    <t xml:space="preserve">underwriting-year</t>
  </si>
  <si>
    <t xml:space="preserve">Year of Account</t>
  </si>
  <si>
    <t xml:space="preserve">The year a reinsurance or London-style contract incepts; all its results are grouped to that year.</t>
  </si>
  <si>
    <t xml:space="preserve">Lloyd's syndicates close years of account after three years.</t>
  </si>
  <si>
    <t xml:space="preserve">unearned-premium</t>
  </si>
  <si>
    <t xml:space="preserve">Unearned Premium</t>
  </si>
  <si>
    <t xml:space="preserve">The part of the premium for the time remaining on the policy; it would be refunded if the policy were cancelled.</t>
  </si>
  <si>
    <t xml:space="preserve">After 3 months on a $1,200 annual policy, $900 is unearned.</t>
  </si>
  <si>
    <t xml:space="preserve">earned-premium, unearned-premium-reserve, return-premium</t>
  </si>
  <si>
    <t xml:space="preserve">unearned-premium-reserve</t>
  </si>
  <si>
    <t xml:space="preserve">Unearned Premium Reserve</t>
  </si>
  <si>
    <t xml:space="preserve">UPR</t>
  </si>
  <si>
    <t xml:space="preserve">A liability on the insurer's balance sheet equal to all unearned premium.</t>
  </si>
  <si>
    <t xml:space="preserve">An insurer holds $400M in UPR.</t>
  </si>
  <si>
    <t xml:space="preserve">unearned-premium, reserves</t>
  </si>
  <si>
    <t xml:space="preserve">unemployment-insurance</t>
  </si>
  <si>
    <t xml:space="preserve">Unemployment Insurance</t>
  </si>
  <si>
    <t xml:space="preserve">UI</t>
  </si>
  <si>
    <t xml:space="preserve">A joint federal-state program paying temporary income to workers who lose jobs through no fault of their own.</t>
  </si>
  <si>
    <t xml:space="preserve">A laid-off worker receives weekly benefits.</t>
  </si>
  <si>
    <t xml:space="preserve">Each state runs its own program funded by employer taxes.</t>
  </si>
  <si>
    <t xml:space="preserve">unfair-claims-settlement-practices</t>
  </si>
  <si>
    <t xml:space="preserve">Unfair Claims Settlement Practices</t>
  </si>
  <si>
    <t xml:space="preserve">State laws listing prohibited claim behaviors by insurers, like misrepresenting coverage or delaying payment unreasonably.</t>
  </si>
  <si>
    <t xml:space="preserve">An insurer fined for not responding to claims within the required time.</t>
  </si>
  <si>
    <t xml:space="preserve">bad-faith, market-conduct-examination</t>
  </si>
  <si>
    <t xml:space="preserve">Based on an NAIC model act adopted in some form by nearly all states.</t>
  </si>
  <si>
    <t xml:space="preserve">unfair-discrimination</t>
  </si>
  <si>
    <t xml:space="preserve">Unfair Discrimination</t>
  </si>
  <si>
    <t xml:space="preserve">Charging different rates or treating people differently without a sound actuarial basis, or based on protected traits like race.</t>
  </si>
  <si>
    <t xml:space="preserve">Pricing based on religion would be unfair discrimination.</t>
  </si>
  <si>
    <t xml:space="preserve">rating-factor, unfair-trade-practices</t>
  </si>
  <si>
    <t xml:space="preserve">Some states regulate AI and big data use in insurance, e.g., Colorado SB21-169.</t>
  </si>
  <si>
    <t xml:space="preserve">unfair-trade-practices</t>
  </si>
  <si>
    <t xml:space="preserve">Unfair Trade Practices</t>
  </si>
  <si>
    <t xml:space="preserve">Prohibited behaviors in selling insurance, such as misrepresentation, rebating and unfair discrimination.</t>
  </si>
  <si>
    <t xml:space="preserve">An agent promises a policy is 'guaranteed to double'.</t>
  </si>
  <si>
    <t xml:space="preserve">rebating, twisting, churning</t>
  </si>
  <si>
    <t xml:space="preserve">unilateral-contract</t>
  </si>
  <si>
    <t xml:space="preserve">Unilateral Contract</t>
  </si>
  <si>
    <t xml:space="preserve">A contract where only one side (the insurer) makes enforceable promises; the policyholder need not keep paying.</t>
  </si>
  <si>
    <t xml:space="preserve">You can stop paying premiums, but the insurer can't stop paying valid claims while the policy is in force.</t>
  </si>
  <si>
    <t xml:space="preserve">Uninsured Motorist Coverage</t>
  </si>
  <si>
    <t xml:space="preserve">UM</t>
  </si>
  <si>
    <t xml:space="preserve">Pays for your injuries (and in some states damage) when a driver without insurance or a hit-and-run driver is at fault.</t>
  </si>
  <si>
    <t xml:space="preserve">A hit-and-run driver injures you; UM pays your medical costs.</t>
  </si>
  <si>
    <t xml:space="preserve">Required in about 20 states; must be offered in most others.</t>
  </si>
  <si>
    <t xml:space="preserve">universal-life-insurance</t>
  </si>
  <si>
    <t xml:space="preserve">Universal Life Insurance</t>
  </si>
  <si>
    <t xml:space="preserve">UL</t>
  </si>
  <si>
    <t xml:space="preserve">Permanent life insurance with flexible premiums and death benefit, where cash value earns interest set by the insurer.</t>
  </si>
  <si>
    <t xml:space="preserve">You pay less in a tight year as long as cash value covers costs.</t>
  </si>
  <si>
    <t xml:space="preserve">permanent-life-insurance, cost-of-insurance, indexed-universal-life</t>
  </si>
  <si>
    <t xml:space="preserve">Usage-Based Insurance</t>
  </si>
  <si>
    <t xml:space="preserve">UBI; Telematics; Pay-As-You-Drive</t>
  </si>
  <si>
    <t xml:space="preserve">Auto insurance priced using data about how and how much you drive, from an app or device.</t>
  </si>
  <si>
    <t xml:space="preserve">Safe braking earns a 20% discount.</t>
  </si>
  <si>
    <t xml:space="preserve">telematics, rating-factor</t>
  </si>
  <si>
    <t xml:space="preserve">use-and-file</t>
  </si>
  <si>
    <t xml:space="preserve">Use and File</t>
  </si>
  <si>
    <t xml:space="preserve">Insurers can start using rates and then file them within a set time.</t>
  </si>
  <si>
    <t xml:space="preserve">Rates used immediately and filed within 30 days.</t>
  </si>
  <si>
    <t xml:space="preserve">file-and-use, prior-approval</t>
  </si>
  <si>
    <t xml:space="preserve">usl-h</t>
  </si>
  <si>
    <t xml:space="preserve">USL&amp;H</t>
  </si>
  <si>
    <t xml:space="preserve">Longshore and Harbor Workers' Compensation Act</t>
  </si>
  <si>
    <t xml:space="preserve">Federal workers' compensation for maritime workers such as dockworkers and ship repairers.</t>
  </si>
  <si>
    <t xml:space="preserve">A shipyard worker's injury is covered under USL&amp;H.</t>
  </si>
  <si>
    <t xml:space="preserve">jones-act, workers-compensation-insurance</t>
  </si>
  <si>
    <t xml:space="preserve">usual-customary-reasonable</t>
  </si>
  <si>
    <t xml:space="preserve">Usual, Customary and Reasonable</t>
  </si>
  <si>
    <t xml:space="preserve">UCR</t>
  </si>
  <si>
    <t xml:space="preserve">The amount a plan considers normal for a service in an area, used to pay out-of-network claims.</t>
  </si>
  <si>
    <t xml:space="preserve">The plan pays out-of-network based on UCR of $150.</t>
  </si>
  <si>
    <t xml:space="preserve">allowed-amount, balance-billing</t>
  </si>
  <si>
    <t xml:space="preserve">utilization-review</t>
  </si>
  <si>
    <t xml:space="preserve">Utilization Review</t>
  </si>
  <si>
    <t xml:space="preserve">UR</t>
  </si>
  <si>
    <t xml:space="preserve">The plan's review of whether care is medically necessary and appropriate.</t>
  </si>
  <si>
    <t xml:space="preserve">A nurse reviews whether a hospital stay should continue.</t>
  </si>
  <si>
    <t xml:space="preserve">prior-authorization, medical-necessity</t>
  </si>
  <si>
    <t xml:space="preserve">Utmost Good Faith</t>
  </si>
  <si>
    <t xml:space="preserve">Both you and the insurer must be completely honest with each other, especially about facts that affect the risk.</t>
  </si>
  <si>
    <t xml:space="preserve">Hiding that you smoke on a life application breaks this duty and may void the policy.</t>
  </si>
  <si>
    <t xml:space="preserve">uberrimae-fidei, material-fact, misrepresentation, concealment, duty-of-disclosure</t>
  </si>
  <si>
    <t xml:space="preserve">vacancy-clause</t>
  </si>
  <si>
    <t xml:space="preserve">Vacancy Clause</t>
  </si>
  <si>
    <t xml:space="preserve">Vacancy Provision</t>
  </si>
  <si>
    <t xml:space="preserve">Reduces or removes coverage if a building is vacant for longer than a set period, often 60 days.</t>
  </si>
  <si>
    <t xml:space="preserve">A house empty for 90 days loses coverage for vandalism.</t>
  </si>
  <si>
    <t xml:space="preserve">occupancy, exclusion</t>
  </si>
  <si>
    <t xml:space="preserve">value-based-care</t>
  </si>
  <si>
    <t xml:space="preserve">Value-Based Care</t>
  </si>
  <si>
    <t xml:space="preserve">Payment models that reward providers for quality and outcomes rather than volume.</t>
  </si>
  <si>
    <t xml:space="preserve">A provider earns bonuses for reducing hospital readmissions.</t>
  </si>
  <si>
    <t xml:space="preserve">fee-for-service, capitation</t>
  </si>
  <si>
    <t xml:space="preserve">valued-policy</t>
  </si>
  <si>
    <t xml:space="preserve">Valued Policy</t>
  </si>
  <si>
    <t xml:space="preserve">Life, Property, Marine/Aviation/Transit</t>
  </si>
  <si>
    <t xml:space="preserve">A policy that pays a fixed, pre-agreed amount for a total loss, regardless of actual value at the time.</t>
  </si>
  <si>
    <t xml:space="preserve">A life policy pays $500,000 at death; nobody measures the 'value' of the loss.</t>
  </si>
  <si>
    <t xml:space="preserve">agreed-value, indemnity</t>
  </si>
  <si>
    <t xml:space="preserve">Several states have 'valued policy laws' requiring full face payment for total fire losses on buildings.</t>
  </si>
  <si>
    <t xml:space="preserve">Variable Annuity</t>
  </si>
  <si>
    <t xml:space="preserve">VA</t>
  </si>
  <si>
    <t xml:space="preserve">An annuity where money is invested in sub-accounts and value rises or falls with markets.</t>
  </si>
  <si>
    <t xml:space="preserve">A VA invested in bond and stock funds.</t>
  </si>
  <si>
    <t xml:space="preserve">sub-account, guaranteed-living-benefit, registered-index-linked-annuity</t>
  </si>
  <si>
    <t xml:space="preserve">Regulated as a security by the SEC/FINRA and by states.</t>
  </si>
  <si>
    <t xml:space="preserve">variable-life-insurance</t>
  </si>
  <si>
    <t xml:space="preserve">Variable Life Insurance</t>
  </si>
  <si>
    <t xml:space="preserve">Permanent life insurance whose cash value and sometimes death benefit depend on investment sub-accounts.</t>
  </si>
  <si>
    <t xml:space="preserve">Your policy value falls when the market drops.</t>
  </si>
  <si>
    <t xml:space="preserve">variable-universal-life, sub-account</t>
  </si>
  <si>
    <t xml:space="preserve">Sellers need a securities license.</t>
  </si>
  <si>
    <t xml:space="preserve">variable-universal-life</t>
  </si>
  <si>
    <t xml:space="preserve">Variable Universal Life</t>
  </si>
  <si>
    <t xml:space="preserve">VUL</t>
  </si>
  <si>
    <t xml:space="preserve">Universal life where cash value is invested in sub-accounts like mutual funds, with investment risk on the policyowner.</t>
  </si>
  <si>
    <t xml:space="preserve">Cash value rises and falls with chosen stock funds.</t>
  </si>
  <si>
    <t xml:space="preserve">variable-life-insurance, sub-account, universal-life-insurance</t>
  </si>
  <si>
    <t xml:space="preserve">Regulated as a security by the SEC and FINRA as well as by states.</t>
  </si>
  <si>
    <t xml:space="preserve">symbol-rating</t>
  </si>
  <si>
    <t xml:space="preserve">Vehicle Symbol</t>
  </si>
  <si>
    <t xml:space="preserve">Vehicle Rating Symbol</t>
  </si>
  <si>
    <t xml:space="preserve">A code assigned to each vehicle model reflecting its loss costs, used to price physical damage and liability.</t>
  </si>
  <si>
    <t xml:space="preserve">A sports car has a higher symbol than a minivan.</t>
  </si>
  <si>
    <t xml:space="preserve">vin, rating-factor</t>
  </si>
  <si>
    <t xml:space="preserve">ISO and insurer proprietary symbols are used.</t>
  </si>
  <si>
    <t xml:space="preserve">viatical-settlement</t>
  </si>
  <si>
    <t xml:space="preserve">Viatical Settlement</t>
  </si>
  <si>
    <t xml:space="preserve">Selling the life policy of a terminally or chronically ill person to a third party.</t>
  </si>
  <si>
    <t xml:space="preserve">A terminally ill person sells their policy for 70% of face.</t>
  </si>
  <si>
    <t xml:space="preserve">Vicarious Liability</t>
  </si>
  <si>
    <t xml:space="preserve">Being held responsible for harm caused by someone else, such as an employee.</t>
  </si>
  <si>
    <t xml:space="preserve">An employer is liable when its delivery driver causes a crash on the job.</t>
  </si>
  <si>
    <t xml:space="preserve">respondeat-superior, liability</t>
  </si>
  <si>
    <t xml:space="preserve">vin</t>
  </si>
  <si>
    <t xml:space="preserve">VIN</t>
  </si>
  <si>
    <t xml:space="preserve">Vehicle Identification Number</t>
  </si>
  <si>
    <t xml:space="preserve">A unique 17-character code identifying a vehicle, used for rating and claims.</t>
  </si>
  <si>
    <t xml:space="preserve">The VIN decoder fills in make, model and year.</t>
  </si>
  <si>
    <t xml:space="preserve">vision-insurance</t>
  </si>
  <si>
    <t xml:space="preserve">Vision Insurance</t>
  </si>
  <si>
    <t xml:space="preserve">Coverage for eye exams, glasses and contact lenses.</t>
  </si>
  <si>
    <t xml:space="preserve">A $10 eye exam and $150 allowance for frames.</t>
  </si>
  <si>
    <t xml:space="preserve">void-policy</t>
  </si>
  <si>
    <t xml:space="preserve">Void Policy</t>
  </si>
  <si>
    <t xml:space="preserve">A policy that has no legal effect at all, as if it never existed.</t>
  </si>
  <si>
    <t xml:space="preserve">A policy on property you have no insurable interest in is void.</t>
  </si>
  <si>
    <t xml:space="preserve">voidable-policy, rescission, ab-initio</t>
  </si>
  <si>
    <t xml:space="preserve">voidable-policy</t>
  </si>
  <si>
    <t xml:space="preserve">Voidable Policy</t>
  </si>
  <si>
    <t xml:space="preserve">A valid policy that one party may choose to cancel because of a problem, like a misrepresentation.</t>
  </si>
  <si>
    <t xml:space="preserve">The insurer may void the policy after discovering the applicant lied.</t>
  </si>
  <si>
    <t xml:space="preserve">void-policy, rescission</t>
  </si>
  <si>
    <t xml:space="preserve">waiting-period</t>
  </si>
  <si>
    <t xml:space="preserve">Waiting Period</t>
  </si>
  <si>
    <t xml:space="preserve">Life, Health, Property, Specialty</t>
  </si>
  <si>
    <t xml:space="preserve">A time that must pass before benefits begin or before coverage takes effect.</t>
  </si>
  <si>
    <t xml:space="preserve">A disability policy with a 90-day elimination period pays starting on day 91.</t>
  </si>
  <si>
    <t xml:space="preserve">Waiver</t>
  </si>
  <si>
    <t xml:space="preserve">Voluntarily giving up a known right.</t>
  </si>
  <si>
    <t xml:space="preserve">An insurer that pays a late-reported claim without objection may have waived the notice requirement.</t>
  </si>
  <si>
    <t xml:space="preserve">waiver-of-premium-rider</t>
  </si>
  <si>
    <t xml:space="preserve">Waiver of Premium Rider</t>
  </si>
  <si>
    <t xml:space="preserve">A rider that stops premiums from being due if you become disabled.</t>
  </si>
  <si>
    <t xml:space="preserve">After a stroke, your premiums are waived.</t>
  </si>
  <si>
    <t xml:space="preserve">rider, disability-insurance</t>
  </si>
  <si>
    <t xml:space="preserve">waiver-of-subrogation</t>
  </si>
  <si>
    <t xml:space="preserve">Waiver of Subrogation</t>
  </si>
  <si>
    <t xml:space="preserve">An agreement that the insurer will not seek recovery from a certain party after paying a claim.</t>
  </si>
  <si>
    <t xml:space="preserve">A lease requires both landlord and tenant insurers to waive subrogation.</t>
  </si>
  <si>
    <t xml:space="preserve">subrogation, endorsement</t>
  </si>
  <si>
    <t xml:space="preserve">war-exclusion</t>
  </si>
  <si>
    <t xml:space="preserve">War Exclusion</t>
  </si>
  <si>
    <t xml:space="preserve">Excludes losses caused by war, invasion or military action.</t>
  </si>
  <si>
    <t xml:space="preserve">Damage from an act of war is not covered.</t>
  </si>
  <si>
    <t xml:space="preserve">exclusion, terrorism-risk-insurance-act</t>
  </si>
  <si>
    <t xml:space="preserve">war-risk-insurance</t>
  </si>
  <si>
    <t xml:space="preserve">War Risk Insurance</t>
  </si>
  <si>
    <t xml:space="preserve">Separate coverage for ships, cargo or aircraft against war and related perils excluded from standard policies.</t>
  </si>
  <si>
    <t xml:space="preserve">A tanker transiting a conflict zone buys war cover.</t>
  </si>
  <si>
    <t xml:space="preserve">warehouse-to-warehouse</t>
  </si>
  <si>
    <t xml:space="preserve">Warehouse to Warehouse Clause</t>
  </si>
  <si>
    <t xml:space="preserve">Extends cargo coverage from the seller's warehouse to the buyer's final warehouse, including land transit.</t>
  </si>
  <si>
    <t xml:space="preserve">Goods covered from a factory in China to a store in Chicago.</t>
  </si>
  <si>
    <t xml:space="preserve">Warranty</t>
  </si>
  <si>
    <t xml:space="preserve">A promise by the insured that certain facts are true or that certain things will or won't be done. Breaking it can void coverage.</t>
  </si>
  <si>
    <t xml:space="preserve">A jewelry store warrants that its alarm will be on whenever it is closed.</t>
  </si>
  <si>
    <t xml:space="preserve">representation, condition-precedent</t>
  </si>
  <si>
    <t xml:space="preserve">Many states soften strict warranty law so a breach only voids coverage if it increased the risk or contributed to the loss.</t>
  </si>
  <si>
    <t xml:space="preserve">water-backup-coverage</t>
  </si>
  <si>
    <t xml:space="preserve">Water Backup Coverage</t>
  </si>
  <si>
    <t xml:space="preserve">Sewer Backup Endorsement</t>
  </si>
  <si>
    <t xml:space="preserve">Optional coverage for water that backs up through sewers or drains or overflows from a sump pump.</t>
  </si>
  <si>
    <t xml:space="preserve">Covers a flooded basement from a failed sump pump.</t>
  </si>
  <si>
    <t xml:space="preserve">flood-exclusion, endorsement</t>
  </si>
  <si>
    <t xml:space="preserve">wear-and-tear</t>
  </si>
  <si>
    <t xml:space="preserve">Wear and Tear</t>
  </si>
  <si>
    <t xml:space="preserve">Gradual damage from ordinary use and age. It is almost always excluded.</t>
  </si>
  <si>
    <t xml:space="preserve">A worn-out carpet is not covered because it is wear and tear.</t>
  </si>
  <si>
    <t xml:space="preserve">inherent-vice, exclusion</t>
  </si>
  <si>
    <t xml:space="preserve">wedding-insurance</t>
  </si>
  <si>
    <t xml:space="preserve">Wedding Insurance</t>
  </si>
  <si>
    <t xml:space="preserve">Special Event Insurance</t>
  </si>
  <si>
    <t xml:space="preserve">Covers cancellation costs and liability for weddings and private events.</t>
  </si>
  <si>
    <t xml:space="preserve">A venue closes unexpectedly.</t>
  </si>
  <si>
    <t xml:space="preserve">whole-life-insurance</t>
  </si>
  <si>
    <t xml:space="preserve">Whole Life Insurance</t>
  </si>
  <si>
    <t xml:space="preserve">Ordinary Life</t>
  </si>
  <si>
    <t xml:space="preserve">Permanent life insurance with fixed premiums, a guaranteed death benefit and guaranteed cash value growth.</t>
  </si>
  <si>
    <t xml:space="preserve">A $100,000 whole life policy with level premiums for life.</t>
  </si>
  <si>
    <t xml:space="preserve">permanent-life-insurance, cash-value, dividend, participating-policy</t>
  </si>
  <si>
    <t xml:space="preserve">wholesale-broker</t>
  </si>
  <si>
    <t xml:space="preserve">Wholesale Broker</t>
  </si>
  <si>
    <t xml:space="preserve">Wholesaler</t>
  </si>
  <si>
    <t xml:space="preserve">A broker who helps retail agents access specialty or surplus lines insurers.</t>
  </si>
  <si>
    <t xml:space="preserve">A retail agent uses a wholesaler to place a hard-to-insure nightclub.</t>
  </si>
  <si>
    <t xml:space="preserve">surplus-lines-broker, retail-agent, managing-general-agent</t>
  </si>
  <si>
    <t xml:space="preserve">wildfire-risk-score</t>
  </si>
  <si>
    <t xml:space="preserve">Wildfire Risk Score</t>
  </si>
  <si>
    <t xml:space="preserve">A score estimating a property's exposure to wildfire, used in underwriting and pricing.</t>
  </si>
  <si>
    <t xml:space="preserve">A home near dense brush receives a high wildfire score.</t>
  </si>
  <si>
    <t xml:space="preserve">catastrophe-model, non-renewal</t>
  </si>
  <si>
    <t xml:space="preserve">California requires insurers to consider mitigation (Safer from Wildfires).</t>
  </si>
  <si>
    <t xml:space="preserve">wind-mitigation</t>
  </si>
  <si>
    <t xml:space="preserve">Wind Mitigation</t>
  </si>
  <si>
    <t xml:space="preserve">Wind Mitigation Inspection</t>
  </si>
  <si>
    <t xml:space="preserve">Features that reduce hurricane damage, like hurricane straps and impact windows, which can earn premium discounts.</t>
  </si>
  <si>
    <t xml:space="preserve">A wind mitigation report saves 20% on a Florida premium.</t>
  </si>
  <si>
    <t xml:space="preserve">hurricane-deductible, inspection</t>
  </si>
  <si>
    <t xml:space="preserve">Florida law requires insurers to offer wind mitigation discounts.</t>
  </si>
  <si>
    <t xml:space="preserve">windstorm-pool</t>
  </si>
  <si>
    <t xml:space="preserve">Windstorm Insurance Pool</t>
  </si>
  <si>
    <t xml:space="preserve">Beach Plan; TWIA</t>
  </si>
  <si>
    <t xml:space="preserve">State-created insurers that provide wind coverage in coastal areas where private insurers won't.</t>
  </si>
  <si>
    <t xml:space="preserve">The Texas Windstorm Insurance Association covers a Galveston home.</t>
  </si>
  <si>
    <t xml:space="preserve">residual-market, fair-plan</t>
  </si>
  <si>
    <t xml:space="preserve">Workers' Compensation Insurance</t>
  </si>
  <si>
    <t xml:space="preserve">Workers' Comp; WC</t>
  </si>
  <si>
    <t xml:space="preserve">Casualty/Liability, Commercial, Social/Government</t>
  </si>
  <si>
    <t xml:space="preserve">Insurance that pays medical care and lost wages for employees injured on the job, regardless of fault, in exchange for limiting lawsuits.</t>
  </si>
  <si>
    <t xml:space="preserve">An employee injured lifting boxes gets medical care and wage replacement.</t>
  </si>
  <si>
    <t xml:space="preserve">employers-liability, exclusive-remedy, experience-modification-factor, class-code</t>
  </si>
  <si>
    <t xml:space="preserve">Required by state law (Texas lets employers opt out); North Dakota, Ohio, Washington and Wyoming have monopolistic state funds.</t>
  </si>
  <si>
    <t xml:space="preserve">write-your-own</t>
  </si>
  <si>
    <t xml:space="preserve">Write Your Own Program</t>
  </si>
  <si>
    <t xml:space="preserve">WYO</t>
  </si>
  <si>
    <t xml:space="preserve">An NFIP arrangement where private insurers sell and service federal flood policies under their own name.</t>
  </si>
  <si>
    <t xml:space="preserve">Your auto insurer also issues your NFIP flood policy.</t>
  </si>
  <si>
    <t xml:space="preserve">written-premium</t>
  </si>
  <si>
    <t xml:space="preserve">Written Premium</t>
  </si>
  <si>
    <t xml:space="preserve">Gross Written Premium; GWP</t>
  </si>
  <si>
    <t xml:space="preserve">The total premium on policies issued during a period, whether or not it has been earned yet.</t>
  </si>
  <si>
    <t xml:space="preserve">Policies sold in 2025 total $50M written premium.</t>
  </si>
  <si>
    <t xml:space="preserve">earned-premium, unearned-premium, net-written-premium</t>
  </si>
  <si>
    <t xml:space="preserve">wrongful-act</t>
  </si>
  <si>
    <t xml:space="preserve">Wrongful Act</t>
  </si>
  <si>
    <t xml:space="preserve">The trigger for management and professional liability: an actual or alleged error, omission, misstatement or breach of duty.</t>
  </si>
  <si>
    <t xml:space="preserve">A board allegedly misled investors.</t>
  </si>
  <si>
    <t xml:space="preserve">directors-and-officers-liability, errors-and-omissions-insurance</t>
  </si>
  <si>
    <t xml:space="preserve">yacht-insurance</t>
  </si>
  <si>
    <t xml:space="preserve">Yacht Insurance</t>
  </si>
  <si>
    <t xml:space="preserve">Boat Insurance; Watercraft</t>
  </si>
  <si>
    <t xml:space="preserve">Covers personal boats for damage and liability.</t>
  </si>
  <si>
    <t xml:space="preserve">A sailboat damaged in a storm.</t>
  </si>
  <si>
    <t xml:space="preserve">yield-protection</t>
  </si>
  <si>
    <t xml:space="preserve">Yield Protection</t>
  </si>
  <si>
    <t xml:space="preserve">YP</t>
  </si>
  <si>
    <t xml:space="preserve">A federal crop policy covering loss of production (yield) below a guaranteed level.</t>
  </si>
  <si>
    <t xml:space="preserve">Hail cuts wheat yield by 40%.</t>
  </si>
  <si>
    <t xml:space="preserve">revenue-protection, actual-production-history</t>
  </si>
  <si>
    <t xml:space="preserve">york-antwerp-rules</t>
  </si>
  <si>
    <t xml:space="preserve">York-Antwerp Rules</t>
  </si>
  <si>
    <t xml:space="preserve">International rules for calculating general average contributions.</t>
  </si>
  <si>
    <t xml:space="preserve">The adjuster applies the York-Antwerp Rules 2016.</t>
  </si>
  <si>
    <t xml:space="preserve">Glossary Counts</t>
  </si>
  <si>
    <t xml:space="preserve">All counts are live formulas over the Terms sheet.</t>
  </si>
  <si>
    <t xml:space="preserve">Total terms</t>
  </si>
  <si>
    <t xml:space="preserve">Terms</t>
  </si>
  <si>
    <t xml:space="preserve">% of Total</t>
  </si>
  <si>
    <t xml:space="preserve">Description</t>
  </si>
  <si>
    <t xml:space="preserve">Foundational ideas that apply across insurance (premium, indemnity, risk, liability).</t>
  </si>
  <si>
    <t xml:space="preserve">Parts, clauses and phrases found in the policy contract itself.</t>
  </si>
  <si>
    <t xml:space="preserve">Stages and transactions in a policy's life: quote, bind, issue, change, renew, cancel.</t>
  </si>
  <si>
    <t xml:space="preserve">Evaluating, selecting and pricing risks.</t>
  </si>
  <si>
    <t xml:space="preserve">Reporting, investigating, valuing and settling losses.</t>
  </si>
  <si>
    <t xml:space="preserve">How insurance is sold: agents, brokers, MGAs, channels and commissions.</t>
  </si>
  <si>
    <t xml:space="preserve">Accounting, reserving, pricing math and financial metrics.</t>
  </si>
  <si>
    <t xml:space="preserve">US federal and state laws, regulators and compliance requirements.</t>
  </si>
  <si>
    <t xml:space="preserve">Insurance for insurers, layers, treaties and capital-market risk transfer structures.</t>
  </si>
  <si>
    <t xml:space="preserve">Legal doctrines and Latin phrases seen in policies, claims and court decisions.</t>
  </si>
  <si>
    <t xml:space="preserve">Systems, data standards and codes developers meet on insurance projects.</t>
  </si>
  <si>
    <t xml:space="preserve">Terms that belong mainly to one line of insurance (life, health, auto, marine, cyber, crop, etc.).</t>
  </si>
  <si>
    <t xml:space="preserve">Subtotal</t>
  </si>
  <si>
    <t xml:space="preserve">Applies To Line</t>
  </si>
  <si>
    <t xml:space="preserve">Applies across all lines of insurance.</t>
  </si>
  <si>
    <t xml:space="preserve">Life insurance and annuities.</t>
  </si>
  <si>
    <t xml:space="preserve">Medical, dental, vision, disability, long-term care and supplemental health.</t>
  </si>
  <si>
    <t xml:space="preserve">Homes, buildings, contents, flood, earthquake and other property.</t>
  </si>
  <si>
    <t xml:space="preserve">Legal liability to others: general, product, umbrella, workers' comp liability, etc.</t>
  </si>
  <si>
    <t xml:space="preserve">Personal and commercial auto.</t>
  </si>
  <si>
    <t xml:space="preserve">Commercial</t>
  </si>
  <si>
    <t xml:space="preserve">Business insurance packages and coverages.</t>
  </si>
  <si>
    <t xml:space="preserve">Ocean and inland marine, cargo, hull, aviation and goods in transit.</t>
  </si>
  <si>
    <t xml:space="preserve">Niche risks: travel, pet, event, title, K&amp;R, space, etc.</t>
  </si>
  <si>
    <t xml:space="preserve">D&amp;O, E&amp;O/professional, cyber, crime, fidelity, surety, credit and mortgage.</t>
  </si>
  <si>
    <t xml:space="preserve">Crop, livestock and farm insurance.</t>
  </si>
  <si>
    <t xml:space="preserve">Government and social programs: Medicare, Medicaid, NFIP, SSDI, unemployment, state funds.</t>
  </si>
  <si>
    <t xml:space="preserve">Insurance bought by insurers.</t>
  </si>
  <si>
    <t xml:space="preserve">Captives, risk retention groups, cat bonds, ILS and parametric structures.</t>
  </si>
  <si>
    <t xml:space="preserve">A term can apply to several lines, so line counts overlap and do not sum to the total. 'All' counts terms tagged as applying to every line.</t>
  </si>
  <si>
    <t xml:space="preserve">Everyday terms most policyholders will see.</t>
  </si>
  <si>
    <t xml:space="preserve">Common professional terms; some industry context helps.</t>
  </si>
  <si>
    <t xml:space="preserve">Specialist terms used by underwriters, actuaries, lawyers or reinsurance professionals.</t>
  </si>
  <si>
    <t xml:space="preserve">Everyday words almost everyone in US insurance meets constantly (policy, premium, claim, deductible, renewal).</t>
  </si>
  <si>
    <t xml:space="preserve">Common within specific lines, roles or documents, but not universal (subrogation, endorsement, binder, loss ratio).</t>
  </si>
  <si>
    <t xml:space="preserve">Specialist, rare or niche terms (Latin maxims, obscure reinsurance/actuarial terms, rare forms or programs).</t>
  </si>
  <si>
    <t xml:space="preserve">Policyholders and consumers reading their own policy, bills and claim letters.</t>
  </si>
  <si>
    <t xml:space="preserve">Engineers building or integrating insurance systems.</t>
  </si>
  <si>
    <t xml:space="preserve">New underwriters and risk professionals (also useful for claims staff).</t>
  </si>
  <si>
    <t xml:space="preserve">People defining insurance products, features, pricing and compliance requirements.</t>
  </si>
  <si>
    <t xml:space="preserve">A term can be relevant to several audiences, so these counts overlap.</t>
  </si>
  <si>
    <t xml:space="preserve">Category x Usage Frequency</t>
  </si>
  <si>
    <t xml:space="preserve">Total</t>
  </si>
  <si>
    <t xml:space="preserve">US Insurance Glossary</t>
  </si>
  <si>
    <t xml:space="preserve">Purpose</t>
  </si>
  <si>
    <t xml:space="preserve">Plain-English glossary of US insurance terms for people new to insurance: policyholders reading their policy, developers joining insurance projects, new underwriters and product owners. Built to be loaded into the learning app as glossary entries (see data/insurance-glossary.csv, which mirrors the Terms sheet).</t>
  </si>
  <si>
    <t xml:space="preserve">Scope</t>
  </si>
  <si>
    <t xml:space="preserve">US market only: US terminology, definitions and regulation (NAIC, state departments of insurance, admitted vs non-admitted/surplus lines, ACA, COBRA, ERISA, HIPAA, Medicare/Medicaid, ISO forms, NFIP, TRIA, federal crop insurance). Terms used only outside the US are excluded.</t>
  </si>
  <si>
    <t xml:space="preserve">Accuracy note</t>
  </si>
  <si>
    <t xml:space="preserve">Definitions are simplified for learning. Policy wording, state law and court decisions control actual coverage; always check the specific policy and state rules. State-specific facts in 'US Notes' reflect general knowledge as of 2026 and can change.</t>
  </si>
  <si>
    <t xml:space="preserve">Sorting</t>
  </si>
  <si>
    <t xml:space="preserve">Terms sheet is sorted alphabetically by Term (case-insensitive).</t>
  </si>
  <si>
    <t xml:space="preserve">COLUMNS (Terms sheet)</t>
  </si>
  <si>
    <t xml:space="preserve">Unique, stable, lowercase slug (a-z, 0-9, hyphens). Use as the primary key in the app.</t>
  </si>
  <si>
    <t xml:space="preserve">The term as it is most commonly written in the US.</t>
  </si>
  <si>
    <t xml:space="preserve">Synonyms, abbreviations and acronym expansions, separated by semicolons (;). Alternative names are listed here rather than as separate rows.</t>
  </si>
  <si>
    <t xml:space="preserve">Exactly one value from the Category vocabulary below.</t>
  </si>
  <si>
    <t xml:space="preserve">Comma-separated values from the Lines vocabulary below. 'All' means the term is general and applies across lines (used alone).</t>
  </si>
  <si>
    <t xml:space="preserve">One or two simple sentences, avoiding jargon. Never empty.</t>
  </si>
  <si>
    <t xml:space="preserve">A concrete, realistic illustration. Dollar figures are illustrative only.</t>
  </si>
  <si>
    <t xml:space="preserve">Comma-separated values from the Where vocabulary below; may be blank for general concepts.</t>
  </si>
  <si>
    <t xml:space="preserve">Comma-separated values from the Audience vocabulary below.</t>
  </si>
  <si>
    <t xml:space="preserve">One value: Beginner, Intermediate or Advanced. How hard the term is to understand.</t>
  </si>
  <si>
    <t xml:space="preserve">One value: High, Medium or Low. How often the term appears across US policy documents, quotes, claims and everyday industry work. Independent of Difficulty: a simple term can be Low and a technical one High. Never empty.</t>
  </si>
  <si>
    <t xml:space="preserve">Comma-separated IDs of other rows in this sheet. Every ID is validated to exist.</t>
  </si>
  <si>
    <t xml:space="preserve">US-specific details such as state-by-state variations, federal rules or regulator names. Blank when not applicable.</t>
  </si>
  <si>
    <t xml:space="preserve">VOCABULARY: Category</t>
  </si>
  <si>
    <t xml:space="preserve">VOCABULARY: Applies To Lines</t>
  </si>
  <si>
    <t xml:space="preserve">VOCABULARY: Most Relevant For</t>
  </si>
  <si>
    <t xml:space="preserve">VOCABULARY: Difficulty</t>
  </si>
  <si>
    <t xml:space="preserve">VOCABULARY: Usage Frequency</t>
  </si>
  <si>
    <t xml:space="preserve">VOCABULARY: Where You'll See It</t>
  </si>
  <si>
    <t xml:space="preserve">VALIDATION</t>
  </si>
  <si>
    <t xml:space="preserve">Checked by script before publishing: IDs unique and well-formed; term names unique; every Related Terms ID exists and is not a self-reference; Category, Lines, Audience, Difficulty, Usage Frequency and Where values come only from the vocabularies above; no empty Term or Definition; CSV matches the Terms sheet.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</si>
</sst>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60"/>
    <col collapsed="false" customWidth="true" hidden="false" outlineLevel="0" max="7" min="7" style="0" width="50"/>
    <col collapsed="false" customWidth="true" hidden="false" outlineLevel="0" max="8" min="8" style="0" width="28"/>
    <col collapsed="false" customWidth="true" hidden="false" outlineLevel="0" max="9" min="9" style="0" width="26"/>
    <col collapsed="false" customWidth="true" hidden="false" outlineLevel="0" max="11" min="10" style="0" width="13"/>
    <col collapsed="false" customWidth="true" hidden="false" outlineLevel="0" max="12" min="12" style="0" width="40"/>
    <col collapsed="false" customWidth="true" hidden="false" outlineLevel="0" max="13" min="13" style="0" width="5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3.85" hidden="false" customHeight="false" outlineLevel="0" collapsed="false">
      <c r="A2" s="2" t="s">
        <v>13</v>
      </c>
      <c r="B2" s="3" t="s">
        <v>14</v>
      </c>
      <c r="C2" s="2"/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/>
    </row>
    <row r="3" customFormat="false" ht="23.85" hidden="false" customHeight="false" outlineLevel="0" collapsed="false">
      <c r="A3" s="2" t="s">
        <v>24</v>
      </c>
      <c r="B3" s="3" t="s">
        <v>25</v>
      </c>
      <c r="C3" s="2"/>
      <c r="D3" s="2" t="s">
        <v>15</v>
      </c>
      <c r="E3" s="2" t="s">
        <v>16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21</v>
      </c>
      <c r="K3" s="2" t="s">
        <v>22</v>
      </c>
      <c r="L3" s="2" t="s">
        <v>30</v>
      </c>
      <c r="M3" s="2"/>
    </row>
    <row r="4" customFormat="false" ht="23.85" hidden="false" customHeight="false" outlineLevel="0" collapsed="false">
      <c r="A4" s="2" t="s">
        <v>31</v>
      </c>
      <c r="B4" s="3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29</v>
      </c>
      <c r="J4" s="2" t="s">
        <v>21</v>
      </c>
      <c r="K4" s="2" t="s">
        <v>22</v>
      </c>
      <c r="L4" s="2" t="s">
        <v>39</v>
      </c>
      <c r="M4" s="2"/>
    </row>
    <row r="5" customFormat="false" ht="23.85" hidden="false" customHeight="false" outlineLevel="0" collapsed="false">
      <c r="A5" s="2" t="s">
        <v>40</v>
      </c>
      <c r="B5" s="3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21</v>
      </c>
      <c r="K5" s="2" t="s">
        <v>22</v>
      </c>
      <c r="L5" s="2" t="s">
        <v>49</v>
      </c>
      <c r="M5" s="2"/>
    </row>
    <row r="6" customFormat="false" ht="15" hidden="false" customHeight="false" outlineLevel="0" collapsed="false">
      <c r="A6" s="2" t="s">
        <v>50</v>
      </c>
      <c r="B6" s="3" t="s">
        <v>51</v>
      </c>
      <c r="C6" s="2"/>
      <c r="D6" s="2" t="s">
        <v>52</v>
      </c>
      <c r="E6" s="2" t="s">
        <v>53</v>
      </c>
      <c r="F6" s="2" t="s">
        <v>54</v>
      </c>
      <c r="G6" s="2" t="s">
        <v>55</v>
      </c>
      <c r="H6" s="2" t="s">
        <v>47</v>
      </c>
      <c r="I6" s="2" t="s">
        <v>29</v>
      </c>
      <c r="J6" s="2" t="s">
        <v>21</v>
      </c>
      <c r="K6" s="2" t="s">
        <v>22</v>
      </c>
      <c r="L6" s="2" t="s">
        <v>56</v>
      </c>
      <c r="M6" s="2"/>
    </row>
    <row r="7" customFormat="false" ht="23.85" hidden="false" customHeight="false" outlineLevel="0" collapsed="false">
      <c r="A7" s="2" t="s">
        <v>57</v>
      </c>
      <c r="B7" s="3" t="s">
        <v>58</v>
      </c>
      <c r="C7" s="2"/>
      <c r="D7" s="2" t="s">
        <v>59</v>
      </c>
      <c r="E7" s="2" t="s">
        <v>60</v>
      </c>
      <c r="F7" s="2" t="s">
        <v>61</v>
      </c>
      <c r="G7" s="2" t="s">
        <v>62</v>
      </c>
      <c r="H7" s="2" t="s">
        <v>47</v>
      </c>
      <c r="I7" s="2" t="s">
        <v>63</v>
      </c>
      <c r="J7" s="2" t="s">
        <v>21</v>
      </c>
      <c r="K7" s="2" t="s">
        <v>22</v>
      </c>
      <c r="L7" s="2" t="s">
        <v>64</v>
      </c>
      <c r="M7" s="2" t="s">
        <v>65</v>
      </c>
    </row>
    <row r="8" customFormat="false" ht="23.85" hidden="false" customHeight="false" outlineLevel="0" collapsed="false">
      <c r="A8" s="2" t="s">
        <v>66</v>
      </c>
      <c r="B8" s="3" t="s">
        <v>67</v>
      </c>
      <c r="C8" s="2" t="s">
        <v>68</v>
      </c>
      <c r="D8" s="2" t="s">
        <v>15</v>
      </c>
      <c r="E8" s="2" t="s">
        <v>16</v>
      </c>
      <c r="F8" s="2" t="s">
        <v>69</v>
      </c>
      <c r="G8" s="2" t="s">
        <v>70</v>
      </c>
      <c r="H8" s="2" t="s">
        <v>47</v>
      </c>
      <c r="I8" s="2" t="s">
        <v>20</v>
      </c>
      <c r="J8" s="2" t="s">
        <v>71</v>
      </c>
      <c r="K8" s="2" t="s">
        <v>72</v>
      </c>
      <c r="L8" s="2" t="s">
        <v>73</v>
      </c>
      <c r="M8" s="2"/>
    </row>
    <row r="9" customFormat="false" ht="23.85" hidden="false" customHeight="false" outlineLevel="0" collapsed="false">
      <c r="A9" s="2" t="s">
        <v>74</v>
      </c>
      <c r="B9" s="3" t="s">
        <v>75</v>
      </c>
      <c r="C9" s="2"/>
      <c r="D9" s="2" t="s">
        <v>34</v>
      </c>
      <c r="E9" s="2" t="s">
        <v>16</v>
      </c>
      <c r="F9" s="2" t="s">
        <v>76</v>
      </c>
      <c r="G9" s="2" t="s">
        <v>77</v>
      </c>
      <c r="H9" s="2" t="s">
        <v>38</v>
      </c>
      <c r="I9" s="2" t="s">
        <v>78</v>
      </c>
      <c r="J9" s="2" t="s">
        <v>71</v>
      </c>
      <c r="K9" s="2" t="s">
        <v>72</v>
      </c>
      <c r="L9" s="2" t="s">
        <v>79</v>
      </c>
      <c r="M9" s="2"/>
    </row>
    <row r="10" customFormat="false" ht="15" hidden="false" customHeight="false" outlineLevel="0" collapsed="false">
      <c r="A10" s="2" t="s">
        <v>80</v>
      </c>
      <c r="B10" s="3" t="s">
        <v>81</v>
      </c>
      <c r="C10" s="2"/>
      <c r="D10" s="2" t="s">
        <v>82</v>
      </c>
      <c r="E10" s="2" t="s">
        <v>53</v>
      </c>
      <c r="F10" s="2" t="s">
        <v>83</v>
      </c>
      <c r="G10" s="2" t="s">
        <v>84</v>
      </c>
      <c r="H10" s="2" t="s">
        <v>47</v>
      </c>
      <c r="I10" s="2" t="s">
        <v>85</v>
      </c>
      <c r="J10" s="2" t="s">
        <v>86</v>
      </c>
      <c r="K10" s="2" t="s">
        <v>87</v>
      </c>
      <c r="L10" s="2" t="s">
        <v>88</v>
      </c>
      <c r="M10" s="2"/>
    </row>
    <row r="11" customFormat="false" ht="15" hidden="false" customHeight="false" outlineLevel="0" collapsed="false">
      <c r="A11" s="2" t="s">
        <v>89</v>
      </c>
      <c r="B11" s="3" t="s">
        <v>90</v>
      </c>
      <c r="C11" s="2"/>
      <c r="D11" s="2" t="s">
        <v>34</v>
      </c>
      <c r="E11" s="2" t="s">
        <v>91</v>
      </c>
      <c r="F11" s="2" t="s">
        <v>92</v>
      </c>
      <c r="G11" s="2" t="s">
        <v>93</v>
      </c>
      <c r="H11" s="2" t="s">
        <v>47</v>
      </c>
      <c r="I11" s="2" t="s">
        <v>94</v>
      </c>
      <c r="J11" s="2" t="s">
        <v>86</v>
      </c>
      <c r="K11" s="2" t="s">
        <v>22</v>
      </c>
      <c r="L11" s="2" t="s">
        <v>95</v>
      </c>
      <c r="M11" s="2" t="s">
        <v>96</v>
      </c>
    </row>
    <row r="12" customFormat="false" ht="23.85" hidden="false" customHeight="false" outlineLevel="0" collapsed="false">
      <c r="A12" s="2" t="s">
        <v>97</v>
      </c>
      <c r="B12" s="3" t="s">
        <v>98</v>
      </c>
      <c r="C12" s="2"/>
      <c r="D12" s="2" t="s">
        <v>15</v>
      </c>
      <c r="E12" s="2" t="s">
        <v>99</v>
      </c>
      <c r="F12" s="2" t="s">
        <v>100</v>
      </c>
      <c r="G12" s="2" t="s">
        <v>101</v>
      </c>
      <c r="H12" s="2" t="s">
        <v>47</v>
      </c>
      <c r="I12" s="2" t="s">
        <v>94</v>
      </c>
      <c r="J12" s="2" t="s">
        <v>86</v>
      </c>
      <c r="K12" s="2" t="s">
        <v>72</v>
      </c>
      <c r="L12" s="2" t="s">
        <v>102</v>
      </c>
      <c r="M12" s="2"/>
    </row>
    <row r="13" customFormat="false" ht="23.85" hidden="false" customHeight="false" outlineLevel="0" collapsed="false">
      <c r="A13" s="2" t="s">
        <v>103</v>
      </c>
      <c r="B13" s="3" t="s">
        <v>104</v>
      </c>
      <c r="C13" s="2" t="s">
        <v>105</v>
      </c>
      <c r="D13" s="2" t="s">
        <v>106</v>
      </c>
      <c r="E13" s="2" t="s">
        <v>107</v>
      </c>
      <c r="F13" s="2" t="s">
        <v>108</v>
      </c>
      <c r="G13" s="2" t="s">
        <v>109</v>
      </c>
      <c r="H13" s="2" t="s">
        <v>110</v>
      </c>
      <c r="I13" s="2" t="s">
        <v>111</v>
      </c>
      <c r="J13" s="2" t="s">
        <v>21</v>
      </c>
      <c r="K13" s="2" t="s">
        <v>72</v>
      </c>
      <c r="L13" s="2" t="s">
        <v>112</v>
      </c>
      <c r="M13" s="2"/>
    </row>
    <row r="14" customFormat="false" ht="23.85" hidden="false" customHeight="false" outlineLevel="0" collapsed="false">
      <c r="A14" s="2" t="s">
        <v>113</v>
      </c>
      <c r="B14" s="3" t="s">
        <v>114</v>
      </c>
      <c r="C14" s="2" t="s">
        <v>115</v>
      </c>
      <c r="D14" s="2" t="s">
        <v>15</v>
      </c>
      <c r="E14" s="2" t="s">
        <v>116</v>
      </c>
      <c r="F14" s="2" t="s">
        <v>117</v>
      </c>
      <c r="G14" s="2" t="s">
        <v>118</v>
      </c>
      <c r="H14" s="2" t="s">
        <v>47</v>
      </c>
      <c r="I14" s="2" t="s">
        <v>119</v>
      </c>
      <c r="J14" s="2" t="s">
        <v>71</v>
      </c>
      <c r="K14" s="2" t="s">
        <v>72</v>
      </c>
      <c r="L14" s="2" t="s">
        <v>120</v>
      </c>
      <c r="M14" s="2"/>
    </row>
    <row r="15" customFormat="false" ht="15" hidden="false" customHeight="false" outlineLevel="0" collapsed="false">
      <c r="A15" s="2" t="s">
        <v>121</v>
      </c>
      <c r="B15" s="3" t="s">
        <v>122</v>
      </c>
      <c r="C15" s="2" t="s">
        <v>123</v>
      </c>
      <c r="D15" s="2" t="s">
        <v>15</v>
      </c>
      <c r="E15" s="2" t="s">
        <v>16</v>
      </c>
      <c r="F15" s="2" t="s">
        <v>124</v>
      </c>
      <c r="G15" s="2" t="s">
        <v>125</v>
      </c>
      <c r="H15" s="2" t="s">
        <v>47</v>
      </c>
      <c r="I15" s="2" t="s">
        <v>85</v>
      </c>
      <c r="J15" s="2" t="s">
        <v>71</v>
      </c>
      <c r="K15" s="2" t="s">
        <v>72</v>
      </c>
      <c r="L15" s="2" t="s">
        <v>126</v>
      </c>
      <c r="M15" s="2"/>
    </row>
    <row r="16" customFormat="false" ht="23.85" hidden="false" customHeight="false" outlineLevel="0" collapsed="false">
      <c r="A16" s="2" t="s">
        <v>127</v>
      </c>
      <c r="B16" s="3" t="s">
        <v>128</v>
      </c>
      <c r="C16" s="2" t="s">
        <v>129</v>
      </c>
      <c r="D16" s="2" t="s">
        <v>34</v>
      </c>
      <c r="E16" s="2" t="s">
        <v>130</v>
      </c>
      <c r="F16" s="2" t="s">
        <v>131</v>
      </c>
      <c r="G16" s="2" t="s">
        <v>132</v>
      </c>
      <c r="H16" s="2" t="s">
        <v>38</v>
      </c>
      <c r="I16" s="2" t="s">
        <v>48</v>
      </c>
      <c r="J16" s="2" t="s">
        <v>21</v>
      </c>
      <c r="K16" s="2" t="s">
        <v>22</v>
      </c>
      <c r="L16" s="2" t="s">
        <v>133</v>
      </c>
      <c r="M16" s="2"/>
    </row>
    <row r="17" customFormat="false" ht="15" hidden="false" customHeight="false" outlineLevel="0" collapsed="false">
      <c r="A17" s="2" t="s">
        <v>134</v>
      </c>
      <c r="B17" s="3" t="s">
        <v>135</v>
      </c>
      <c r="C17" s="2"/>
      <c r="D17" s="2" t="s">
        <v>15</v>
      </c>
      <c r="E17" s="2" t="s">
        <v>16</v>
      </c>
      <c r="F17" s="2" t="s">
        <v>136</v>
      </c>
      <c r="G17" s="2" t="s">
        <v>137</v>
      </c>
      <c r="H17" s="2" t="s">
        <v>47</v>
      </c>
      <c r="I17" s="2" t="s">
        <v>138</v>
      </c>
      <c r="J17" s="2" t="s">
        <v>71</v>
      </c>
      <c r="K17" s="2" t="s">
        <v>22</v>
      </c>
      <c r="L17" s="2" t="s">
        <v>139</v>
      </c>
      <c r="M17" s="2"/>
    </row>
    <row r="18" customFormat="false" ht="23.85" hidden="false" customHeight="false" outlineLevel="0" collapsed="false">
      <c r="A18" s="2" t="s">
        <v>140</v>
      </c>
      <c r="B18" s="3" t="s">
        <v>141</v>
      </c>
      <c r="C18" s="2" t="s">
        <v>142</v>
      </c>
      <c r="D18" s="2" t="s">
        <v>43</v>
      </c>
      <c r="E18" s="2" t="s">
        <v>53</v>
      </c>
      <c r="F18" s="2" t="s">
        <v>143</v>
      </c>
      <c r="G18" s="2" t="s">
        <v>144</v>
      </c>
      <c r="H18" s="2" t="s">
        <v>145</v>
      </c>
      <c r="I18" s="2" t="s">
        <v>111</v>
      </c>
      <c r="J18" s="2" t="s">
        <v>71</v>
      </c>
      <c r="K18" s="2" t="s">
        <v>72</v>
      </c>
      <c r="L18" s="2" t="s">
        <v>146</v>
      </c>
      <c r="M18" s="2"/>
    </row>
    <row r="19" customFormat="false" ht="23.85" hidden="false" customHeight="false" outlineLevel="0" collapsed="false">
      <c r="A19" s="2" t="s">
        <v>147</v>
      </c>
      <c r="B19" s="3" t="s">
        <v>148</v>
      </c>
      <c r="C19" s="2"/>
      <c r="D19" s="2" t="s">
        <v>43</v>
      </c>
      <c r="E19" s="2" t="s">
        <v>53</v>
      </c>
      <c r="F19" s="2" t="s">
        <v>149</v>
      </c>
      <c r="G19" s="2" t="s">
        <v>150</v>
      </c>
      <c r="H19" s="2" t="s">
        <v>145</v>
      </c>
      <c r="I19" s="2" t="s">
        <v>151</v>
      </c>
      <c r="J19" s="2" t="s">
        <v>21</v>
      </c>
      <c r="K19" s="2" t="s">
        <v>22</v>
      </c>
      <c r="L19" s="2" t="s">
        <v>140</v>
      </c>
      <c r="M19" s="2"/>
    </row>
    <row r="20" customFormat="false" ht="23.85" hidden="false" customHeight="false" outlineLevel="0" collapsed="false">
      <c r="A20" s="2" t="s">
        <v>152</v>
      </c>
      <c r="B20" s="3" t="s">
        <v>153</v>
      </c>
      <c r="C20" s="2"/>
      <c r="D20" s="2" t="s">
        <v>43</v>
      </c>
      <c r="E20" s="2" t="s">
        <v>53</v>
      </c>
      <c r="F20" s="2" t="s">
        <v>154</v>
      </c>
      <c r="G20" s="2" t="s">
        <v>155</v>
      </c>
      <c r="H20" s="2" t="s">
        <v>156</v>
      </c>
      <c r="I20" s="2" t="s">
        <v>78</v>
      </c>
      <c r="J20" s="2" t="s">
        <v>71</v>
      </c>
      <c r="K20" s="2" t="s">
        <v>72</v>
      </c>
      <c r="L20" s="2" t="s">
        <v>157</v>
      </c>
      <c r="M20" s="2"/>
    </row>
    <row r="21" customFormat="false" ht="15" hidden="false" customHeight="false" outlineLevel="0" collapsed="false">
      <c r="A21" s="2" t="s">
        <v>158</v>
      </c>
      <c r="B21" s="3" t="s">
        <v>159</v>
      </c>
      <c r="C21" s="2"/>
      <c r="D21" s="2" t="s">
        <v>106</v>
      </c>
      <c r="E21" s="2" t="s">
        <v>53</v>
      </c>
      <c r="F21" s="2" t="s">
        <v>160</v>
      </c>
      <c r="G21" s="2" t="s">
        <v>161</v>
      </c>
      <c r="H21" s="2" t="s">
        <v>110</v>
      </c>
      <c r="I21" s="2" t="s">
        <v>111</v>
      </c>
      <c r="J21" s="2" t="s">
        <v>71</v>
      </c>
      <c r="K21" s="2" t="s">
        <v>72</v>
      </c>
      <c r="L21" s="2" t="s">
        <v>162</v>
      </c>
      <c r="M21" s="2"/>
    </row>
    <row r="22" customFormat="false" ht="15" hidden="false" customHeight="false" outlineLevel="0" collapsed="false">
      <c r="A22" s="2" t="s">
        <v>163</v>
      </c>
      <c r="B22" s="3" t="s">
        <v>164</v>
      </c>
      <c r="C22" s="2" t="s">
        <v>165</v>
      </c>
      <c r="D22" s="2" t="s">
        <v>52</v>
      </c>
      <c r="E22" s="2" t="s">
        <v>53</v>
      </c>
      <c r="F22" s="2" t="s">
        <v>166</v>
      </c>
      <c r="G22" s="2" t="s">
        <v>167</v>
      </c>
      <c r="H22" s="2" t="s">
        <v>47</v>
      </c>
      <c r="I22" s="2" t="s">
        <v>85</v>
      </c>
      <c r="J22" s="2" t="s">
        <v>86</v>
      </c>
      <c r="K22" s="2" t="s">
        <v>72</v>
      </c>
      <c r="L22" s="2" t="s">
        <v>168</v>
      </c>
      <c r="M22" s="2"/>
    </row>
    <row r="23" customFormat="false" ht="23.85" hidden="false" customHeight="false" outlineLevel="0" collapsed="false">
      <c r="A23" s="2" t="s">
        <v>169</v>
      </c>
      <c r="B23" s="3" t="s">
        <v>170</v>
      </c>
      <c r="C23" s="2" t="s">
        <v>171</v>
      </c>
      <c r="D23" s="2" t="s">
        <v>15</v>
      </c>
      <c r="E23" s="2" t="s">
        <v>116</v>
      </c>
      <c r="F23" s="2" t="s">
        <v>172</v>
      </c>
      <c r="G23" s="2" t="s">
        <v>173</v>
      </c>
      <c r="H23" s="2" t="s">
        <v>174</v>
      </c>
      <c r="I23" s="2" t="s">
        <v>85</v>
      </c>
      <c r="J23" s="2" t="s">
        <v>71</v>
      </c>
      <c r="K23" s="2" t="s">
        <v>72</v>
      </c>
      <c r="L23" s="2" t="s">
        <v>175</v>
      </c>
      <c r="M23" s="2"/>
    </row>
    <row r="24" customFormat="false" ht="23.85" hidden="false" customHeight="false" outlineLevel="0" collapsed="false">
      <c r="A24" s="2" t="s">
        <v>176</v>
      </c>
      <c r="B24" s="3" t="s">
        <v>177</v>
      </c>
      <c r="C24" s="2" t="s">
        <v>178</v>
      </c>
      <c r="D24" s="2" t="s">
        <v>179</v>
      </c>
      <c r="E24" s="2" t="s">
        <v>35</v>
      </c>
      <c r="F24" s="2" t="s">
        <v>180</v>
      </c>
      <c r="G24" s="2" t="s">
        <v>181</v>
      </c>
      <c r="H24" s="2" t="s">
        <v>174</v>
      </c>
      <c r="I24" s="2" t="s">
        <v>182</v>
      </c>
      <c r="J24" s="2" t="s">
        <v>86</v>
      </c>
      <c r="K24" s="2" t="s">
        <v>87</v>
      </c>
      <c r="L24" s="2" t="s">
        <v>183</v>
      </c>
      <c r="M24" s="2" t="s">
        <v>184</v>
      </c>
    </row>
    <row r="25" customFormat="false" ht="15" hidden="false" customHeight="false" outlineLevel="0" collapsed="false">
      <c r="A25" s="2" t="s">
        <v>185</v>
      </c>
      <c r="B25" s="3" t="s">
        <v>186</v>
      </c>
      <c r="C25" s="2" t="s">
        <v>187</v>
      </c>
      <c r="D25" s="2" t="s">
        <v>34</v>
      </c>
      <c r="E25" s="2" t="s">
        <v>188</v>
      </c>
      <c r="F25" s="2" t="s">
        <v>189</v>
      </c>
      <c r="G25" s="2" t="s">
        <v>190</v>
      </c>
      <c r="H25" s="2" t="s">
        <v>38</v>
      </c>
      <c r="I25" s="2" t="s">
        <v>29</v>
      </c>
      <c r="J25" s="2" t="s">
        <v>21</v>
      </c>
      <c r="K25" s="2" t="s">
        <v>22</v>
      </c>
      <c r="L25" s="2" t="s">
        <v>191</v>
      </c>
      <c r="M25" s="2"/>
    </row>
    <row r="26" customFormat="false" ht="15" hidden="false" customHeight="false" outlineLevel="0" collapsed="false">
      <c r="A26" s="2" t="s">
        <v>192</v>
      </c>
      <c r="B26" s="3" t="s">
        <v>193</v>
      </c>
      <c r="C26" s="2" t="s">
        <v>194</v>
      </c>
      <c r="D26" s="2" t="s">
        <v>106</v>
      </c>
      <c r="E26" s="2" t="s">
        <v>99</v>
      </c>
      <c r="F26" s="2" t="s">
        <v>195</v>
      </c>
      <c r="G26" s="2" t="s">
        <v>196</v>
      </c>
      <c r="H26" s="2" t="s">
        <v>197</v>
      </c>
      <c r="I26" s="2" t="s">
        <v>111</v>
      </c>
      <c r="J26" s="2" t="s">
        <v>21</v>
      </c>
      <c r="K26" s="2" t="s">
        <v>22</v>
      </c>
      <c r="L26" s="2" t="s">
        <v>198</v>
      </c>
      <c r="M26" s="2"/>
    </row>
    <row r="27" customFormat="false" ht="23.85" hidden="false" customHeight="false" outlineLevel="0" collapsed="false">
      <c r="A27" s="2" t="s">
        <v>199</v>
      </c>
      <c r="B27" s="3" t="s">
        <v>200</v>
      </c>
      <c r="C27" s="2"/>
      <c r="D27" s="2" t="s">
        <v>106</v>
      </c>
      <c r="E27" s="2" t="s">
        <v>53</v>
      </c>
      <c r="F27" s="2" t="s">
        <v>201</v>
      </c>
      <c r="G27" s="2" t="s">
        <v>202</v>
      </c>
      <c r="H27" s="2"/>
      <c r="I27" s="2" t="s">
        <v>78</v>
      </c>
      <c r="J27" s="2" t="s">
        <v>86</v>
      </c>
      <c r="K27" s="2" t="s">
        <v>72</v>
      </c>
      <c r="L27" s="2" t="s">
        <v>203</v>
      </c>
      <c r="M27" s="2" t="s">
        <v>204</v>
      </c>
    </row>
    <row r="28" customFormat="false" ht="23.85" hidden="false" customHeight="false" outlineLevel="0" collapsed="false">
      <c r="A28" s="2" t="s">
        <v>205</v>
      </c>
      <c r="B28" s="3" t="s">
        <v>206</v>
      </c>
      <c r="C28" s="2" t="s">
        <v>207</v>
      </c>
      <c r="D28" s="2" t="s">
        <v>82</v>
      </c>
      <c r="E28" s="2" t="s">
        <v>208</v>
      </c>
      <c r="F28" s="2" t="s">
        <v>209</v>
      </c>
      <c r="G28" s="2" t="s">
        <v>210</v>
      </c>
      <c r="H28" s="2" t="s">
        <v>211</v>
      </c>
      <c r="I28" s="2" t="s">
        <v>78</v>
      </c>
      <c r="J28" s="2" t="s">
        <v>71</v>
      </c>
      <c r="K28" s="2" t="s">
        <v>87</v>
      </c>
      <c r="L28" s="2" t="s">
        <v>212</v>
      </c>
      <c r="M28" s="2"/>
    </row>
    <row r="29" customFormat="false" ht="23.85" hidden="false" customHeight="false" outlineLevel="0" collapsed="false">
      <c r="A29" s="2" t="s">
        <v>213</v>
      </c>
      <c r="B29" s="3" t="s">
        <v>214</v>
      </c>
      <c r="C29" s="2" t="s">
        <v>215</v>
      </c>
      <c r="D29" s="2" t="s">
        <v>82</v>
      </c>
      <c r="E29" s="2" t="s">
        <v>216</v>
      </c>
      <c r="F29" s="2" t="s">
        <v>217</v>
      </c>
      <c r="G29" s="2" t="s">
        <v>218</v>
      </c>
      <c r="H29" s="2" t="s">
        <v>47</v>
      </c>
      <c r="I29" s="2" t="s">
        <v>85</v>
      </c>
      <c r="J29" s="2" t="s">
        <v>86</v>
      </c>
      <c r="K29" s="2" t="s">
        <v>72</v>
      </c>
      <c r="L29" s="2" t="s">
        <v>219</v>
      </c>
      <c r="M29" s="2"/>
    </row>
    <row r="30" customFormat="false" ht="15" hidden="false" customHeight="false" outlineLevel="0" collapsed="false">
      <c r="A30" s="2" t="s">
        <v>220</v>
      </c>
      <c r="B30" s="3" t="s">
        <v>221</v>
      </c>
      <c r="C30" s="2" t="s">
        <v>222</v>
      </c>
      <c r="D30" s="2" t="s">
        <v>223</v>
      </c>
      <c r="E30" s="2" t="s">
        <v>53</v>
      </c>
      <c r="F30" s="2" t="s">
        <v>224</v>
      </c>
      <c r="G30" s="2" t="s">
        <v>225</v>
      </c>
      <c r="H30" s="2" t="s">
        <v>226</v>
      </c>
      <c r="I30" s="2" t="s">
        <v>29</v>
      </c>
      <c r="J30" s="2" t="s">
        <v>86</v>
      </c>
      <c r="K30" s="2" t="s">
        <v>72</v>
      </c>
      <c r="L30" s="2" t="s">
        <v>227</v>
      </c>
      <c r="M30" s="2"/>
    </row>
    <row r="31" customFormat="false" ht="23.85" hidden="false" customHeight="false" outlineLevel="0" collapsed="false">
      <c r="A31" s="2" t="s">
        <v>228</v>
      </c>
      <c r="B31" s="3" t="s">
        <v>229</v>
      </c>
      <c r="C31" s="2" t="s">
        <v>230</v>
      </c>
      <c r="D31" s="2" t="s">
        <v>231</v>
      </c>
      <c r="E31" s="2" t="s">
        <v>99</v>
      </c>
      <c r="F31" s="2" t="s">
        <v>232</v>
      </c>
      <c r="G31" s="2" t="s">
        <v>233</v>
      </c>
      <c r="H31" s="2"/>
      <c r="I31" s="2" t="s">
        <v>111</v>
      </c>
      <c r="J31" s="2" t="s">
        <v>21</v>
      </c>
      <c r="K31" s="2" t="s">
        <v>22</v>
      </c>
      <c r="L31" s="2" t="s">
        <v>234</v>
      </c>
      <c r="M31" s="2"/>
    </row>
    <row r="32" customFormat="false" ht="23.85" hidden="false" customHeight="false" outlineLevel="0" collapsed="false">
      <c r="A32" s="2" t="s">
        <v>235</v>
      </c>
      <c r="B32" s="3" t="s">
        <v>236</v>
      </c>
      <c r="C32" s="2" t="s">
        <v>237</v>
      </c>
      <c r="D32" s="2" t="s">
        <v>238</v>
      </c>
      <c r="E32" s="2" t="s">
        <v>53</v>
      </c>
      <c r="F32" s="2" t="s">
        <v>239</v>
      </c>
      <c r="G32" s="2" t="s">
        <v>240</v>
      </c>
      <c r="H32" s="2" t="s">
        <v>241</v>
      </c>
      <c r="I32" s="2" t="s">
        <v>182</v>
      </c>
      <c r="J32" s="2" t="s">
        <v>71</v>
      </c>
      <c r="K32" s="2" t="s">
        <v>72</v>
      </c>
      <c r="L32" s="2" t="s">
        <v>242</v>
      </c>
      <c r="M32" s="2"/>
    </row>
    <row r="33" customFormat="false" ht="15" hidden="false" customHeight="false" outlineLevel="0" collapsed="false">
      <c r="A33" s="2" t="s">
        <v>243</v>
      </c>
      <c r="B33" s="3" t="s">
        <v>244</v>
      </c>
      <c r="C33" s="2"/>
      <c r="D33" s="2" t="s">
        <v>238</v>
      </c>
      <c r="E33" s="2" t="s">
        <v>53</v>
      </c>
      <c r="F33" s="2" t="s">
        <v>245</v>
      </c>
      <c r="G33" s="2" t="s">
        <v>246</v>
      </c>
      <c r="H33" s="2" t="s">
        <v>241</v>
      </c>
      <c r="I33" s="2" t="s">
        <v>29</v>
      </c>
      <c r="J33" s="2" t="s">
        <v>71</v>
      </c>
      <c r="K33" s="2" t="s">
        <v>22</v>
      </c>
      <c r="L33" s="2" t="s">
        <v>247</v>
      </c>
      <c r="M33" s="2"/>
    </row>
    <row r="34" customFormat="false" ht="15" hidden="false" customHeight="false" outlineLevel="0" collapsed="false">
      <c r="A34" s="2" t="s">
        <v>248</v>
      </c>
      <c r="B34" s="3" t="s">
        <v>249</v>
      </c>
      <c r="C34" s="2" t="s">
        <v>250</v>
      </c>
      <c r="D34" s="2" t="s">
        <v>251</v>
      </c>
      <c r="E34" s="2" t="s">
        <v>252</v>
      </c>
      <c r="F34" s="2" t="s">
        <v>253</v>
      </c>
      <c r="G34" s="2" t="s">
        <v>254</v>
      </c>
      <c r="H34" s="2" t="s">
        <v>255</v>
      </c>
      <c r="I34" s="2" t="s">
        <v>256</v>
      </c>
      <c r="J34" s="2" t="s">
        <v>21</v>
      </c>
      <c r="K34" s="2" t="s">
        <v>22</v>
      </c>
      <c r="L34" s="2" t="s">
        <v>257</v>
      </c>
      <c r="M34" s="2"/>
    </row>
    <row r="35" customFormat="false" ht="23.85" hidden="false" customHeight="false" outlineLevel="0" collapsed="false">
      <c r="A35" s="2" t="s">
        <v>258</v>
      </c>
      <c r="B35" s="3" t="s">
        <v>259</v>
      </c>
      <c r="C35" s="2" t="s">
        <v>260</v>
      </c>
      <c r="D35" s="2" t="s">
        <v>34</v>
      </c>
      <c r="E35" s="2" t="s">
        <v>53</v>
      </c>
      <c r="F35" s="2" t="s">
        <v>261</v>
      </c>
      <c r="G35" s="2" t="s">
        <v>262</v>
      </c>
      <c r="H35" s="2" t="s">
        <v>38</v>
      </c>
      <c r="I35" s="2" t="s">
        <v>48</v>
      </c>
      <c r="J35" s="2" t="s">
        <v>71</v>
      </c>
      <c r="K35" s="2" t="s">
        <v>72</v>
      </c>
      <c r="L35" s="2" t="s">
        <v>263</v>
      </c>
      <c r="M35" s="2"/>
    </row>
    <row r="36" customFormat="false" ht="15" hidden="false" customHeight="false" outlineLevel="0" collapsed="false">
      <c r="A36" s="2" t="s">
        <v>264</v>
      </c>
      <c r="B36" s="3" t="s">
        <v>265</v>
      </c>
      <c r="C36" s="2"/>
      <c r="D36" s="2" t="s">
        <v>43</v>
      </c>
      <c r="E36" s="2" t="s">
        <v>266</v>
      </c>
      <c r="F36" s="2" t="s">
        <v>267</v>
      </c>
      <c r="G36" s="2" t="s">
        <v>268</v>
      </c>
      <c r="H36" s="2" t="s">
        <v>38</v>
      </c>
      <c r="I36" s="2" t="s">
        <v>29</v>
      </c>
      <c r="J36" s="2" t="s">
        <v>71</v>
      </c>
      <c r="K36" s="2" t="s">
        <v>22</v>
      </c>
      <c r="L36" s="2" t="s">
        <v>269</v>
      </c>
      <c r="M36" s="2" t="s">
        <v>270</v>
      </c>
    </row>
    <row r="37" customFormat="false" ht="23.85" hidden="false" customHeight="false" outlineLevel="0" collapsed="false">
      <c r="A37" s="2" t="s">
        <v>271</v>
      </c>
      <c r="B37" s="3" t="s">
        <v>272</v>
      </c>
      <c r="C37" s="2" t="s">
        <v>273</v>
      </c>
      <c r="D37" s="2" t="s">
        <v>231</v>
      </c>
      <c r="E37" s="2" t="s">
        <v>53</v>
      </c>
      <c r="F37" s="2" t="s">
        <v>274</v>
      </c>
      <c r="G37" s="2" t="s">
        <v>275</v>
      </c>
      <c r="H37" s="2"/>
      <c r="I37" s="2" t="s">
        <v>48</v>
      </c>
      <c r="J37" s="2" t="s">
        <v>71</v>
      </c>
      <c r="K37" s="2" t="s">
        <v>22</v>
      </c>
      <c r="L37" s="2" t="s">
        <v>276</v>
      </c>
      <c r="M37" s="2"/>
    </row>
    <row r="38" customFormat="false" ht="23.85" hidden="false" customHeight="false" outlineLevel="0" collapsed="false">
      <c r="A38" s="2" t="s">
        <v>277</v>
      </c>
      <c r="B38" s="3" t="s">
        <v>278</v>
      </c>
      <c r="C38" s="2" t="s">
        <v>279</v>
      </c>
      <c r="D38" s="2" t="s">
        <v>238</v>
      </c>
      <c r="E38" s="2" t="s">
        <v>99</v>
      </c>
      <c r="F38" s="2" t="s">
        <v>280</v>
      </c>
      <c r="G38" s="2" t="s">
        <v>281</v>
      </c>
      <c r="H38" s="2" t="s">
        <v>241</v>
      </c>
      <c r="I38" s="2" t="s">
        <v>182</v>
      </c>
      <c r="J38" s="2" t="s">
        <v>86</v>
      </c>
      <c r="K38" s="2" t="s">
        <v>87</v>
      </c>
      <c r="L38" s="2" t="s">
        <v>282</v>
      </c>
      <c r="M38" s="2"/>
    </row>
    <row r="39" customFormat="false" ht="15" hidden="false" customHeight="false" outlineLevel="0" collapsed="false">
      <c r="A39" s="2" t="s">
        <v>283</v>
      </c>
      <c r="B39" s="3" t="s">
        <v>284</v>
      </c>
      <c r="C39" s="2" t="s">
        <v>285</v>
      </c>
      <c r="D39" s="2" t="s">
        <v>34</v>
      </c>
      <c r="E39" s="2" t="s">
        <v>16</v>
      </c>
      <c r="F39" s="2" t="s">
        <v>286</v>
      </c>
      <c r="G39" s="2" t="s">
        <v>287</v>
      </c>
      <c r="H39" s="2" t="s">
        <v>288</v>
      </c>
      <c r="I39" s="2" t="s">
        <v>29</v>
      </c>
      <c r="J39" s="2" t="s">
        <v>21</v>
      </c>
      <c r="K39" s="2" t="s">
        <v>22</v>
      </c>
      <c r="L39" s="2" t="s">
        <v>289</v>
      </c>
      <c r="M39" s="2"/>
    </row>
    <row r="40" customFormat="false" ht="15" hidden="false" customHeight="false" outlineLevel="0" collapsed="false">
      <c r="A40" s="2" t="s">
        <v>290</v>
      </c>
      <c r="B40" s="3" t="s">
        <v>291</v>
      </c>
      <c r="C40" s="2"/>
      <c r="D40" s="2" t="s">
        <v>231</v>
      </c>
      <c r="E40" s="2" t="s">
        <v>208</v>
      </c>
      <c r="F40" s="2" t="s">
        <v>292</v>
      </c>
      <c r="G40" s="2" t="s">
        <v>293</v>
      </c>
      <c r="H40" s="2" t="s">
        <v>226</v>
      </c>
      <c r="I40" s="2" t="s">
        <v>29</v>
      </c>
      <c r="J40" s="2" t="s">
        <v>71</v>
      </c>
      <c r="K40" s="2" t="s">
        <v>72</v>
      </c>
      <c r="L40" s="2" t="s">
        <v>294</v>
      </c>
      <c r="M40" s="2"/>
    </row>
    <row r="41" customFormat="false" ht="15" hidden="false" customHeight="false" outlineLevel="0" collapsed="false">
      <c r="A41" s="2" t="s">
        <v>295</v>
      </c>
      <c r="B41" s="3" t="s">
        <v>296</v>
      </c>
      <c r="C41" s="2" t="s">
        <v>297</v>
      </c>
      <c r="D41" s="2" t="s">
        <v>43</v>
      </c>
      <c r="E41" s="2" t="s">
        <v>53</v>
      </c>
      <c r="F41" s="2" t="s">
        <v>298</v>
      </c>
      <c r="G41" s="2" t="s">
        <v>299</v>
      </c>
      <c r="H41" s="2"/>
      <c r="I41" s="2" t="s">
        <v>111</v>
      </c>
      <c r="J41" s="2" t="s">
        <v>71</v>
      </c>
      <c r="K41" s="2" t="s">
        <v>72</v>
      </c>
      <c r="L41" s="2" t="s">
        <v>300</v>
      </c>
      <c r="M41" s="2"/>
    </row>
    <row r="42" customFormat="false" ht="23.85" hidden="false" customHeight="false" outlineLevel="0" collapsed="false">
      <c r="A42" s="2" t="s">
        <v>301</v>
      </c>
      <c r="B42" s="3" t="s">
        <v>302</v>
      </c>
      <c r="C42" s="2" t="s">
        <v>303</v>
      </c>
      <c r="D42" s="2" t="s">
        <v>231</v>
      </c>
      <c r="E42" s="2" t="s">
        <v>53</v>
      </c>
      <c r="F42" s="2" t="s">
        <v>304</v>
      </c>
      <c r="G42" s="2" t="s">
        <v>305</v>
      </c>
      <c r="H42" s="2" t="s">
        <v>306</v>
      </c>
      <c r="I42" s="2" t="s">
        <v>182</v>
      </c>
      <c r="J42" s="2" t="s">
        <v>86</v>
      </c>
      <c r="K42" s="2" t="s">
        <v>87</v>
      </c>
      <c r="L42" s="2" t="s">
        <v>307</v>
      </c>
      <c r="M42" s="2" t="s">
        <v>308</v>
      </c>
    </row>
    <row r="43" customFormat="false" ht="23.85" hidden="false" customHeight="false" outlineLevel="0" collapsed="false">
      <c r="A43" s="2" t="s">
        <v>309</v>
      </c>
      <c r="B43" s="3" t="s">
        <v>310</v>
      </c>
      <c r="C43" s="2" t="s">
        <v>311</v>
      </c>
      <c r="D43" s="2" t="s">
        <v>231</v>
      </c>
      <c r="E43" s="2" t="s">
        <v>312</v>
      </c>
      <c r="F43" s="2" t="s">
        <v>313</v>
      </c>
      <c r="G43" s="2" t="s">
        <v>314</v>
      </c>
      <c r="H43" s="2"/>
      <c r="I43" s="2" t="s">
        <v>48</v>
      </c>
      <c r="J43" s="2" t="s">
        <v>71</v>
      </c>
      <c r="K43" s="2" t="s">
        <v>22</v>
      </c>
      <c r="L43" s="2" t="s">
        <v>315</v>
      </c>
      <c r="M43" s="2"/>
    </row>
    <row r="44" customFormat="false" ht="15" hidden="false" customHeight="false" outlineLevel="0" collapsed="false">
      <c r="A44" s="2" t="s">
        <v>316</v>
      </c>
      <c r="B44" s="3" t="s">
        <v>317</v>
      </c>
      <c r="C44" s="2" t="s">
        <v>318</v>
      </c>
      <c r="D44" s="2" t="s">
        <v>251</v>
      </c>
      <c r="E44" s="2" t="s">
        <v>319</v>
      </c>
      <c r="F44" s="2" t="s">
        <v>320</v>
      </c>
      <c r="G44" s="2" t="s">
        <v>321</v>
      </c>
      <c r="H44" s="2" t="s">
        <v>255</v>
      </c>
      <c r="I44" s="2" t="s">
        <v>48</v>
      </c>
      <c r="J44" s="2" t="s">
        <v>21</v>
      </c>
      <c r="K44" s="2" t="s">
        <v>22</v>
      </c>
      <c r="L44" s="2" t="s">
        <v>322</v>
      </c>
      <c r="M44" s="2"/>
    </row>
    <row r="45" customFormat="false" ht="23.85" hidden="false" customHeight="false" outlineLevel="0" collapsed="false">
      <c r="A45" s="2" t="s">
        <v>323</v>
      </c>
      <c r="B45" s="3" t="s">
        <v>324</v>
      </c>
      <c r="C45" s="2" t="s">
        <v>325</v>
      </c>
      <c r="D45" s="2" t="s">
        <v>179</v>
      </c>
      <c r="E45" s="2" t="s">
        <v>326</v>
      </c>
      <c r="F45" s="2" t="s">
        <v>327</v>
      </c>
      <c r="G45" s="2" t="s">
        <v>328</v>
      </c>
      <c r="H45" s="2" t="s">
        <v>329</v>
      </c>
      <c r="I45" s="2" t="s">
        <v>78</v>
      </c>
      <c r="J45" s="2" t="s">
        <v>71</v>
      </c>
      <c r="K45" s="2" t="s">
        <v>87</v>
      </c>
      <c r="L45" s="2" t="s">
        <v>330</v>
      </c>
      <c r="M45" s="2"/>
    </row>
    <row r="46" customFormat="false" ht="15" hidden="false" customHeight="false" outlineLevel="0" collapsed="false">
      <c r="A46" s="2" t="s">
        <v>331</v>
      </c>
      <c r="B46" s="3" t="s">
        <v>332</v>
      </c>
      <c r="C46" s="2"/>
      <c r="D46" s="2" t="s">
        <v>15</v>
      </c>
      <c r="E46" s="2" t="s">
        <v>99</v>
      </c>
      <c r="F46" s="2" t="s">
        <v>333</v>
      </c>
      <c r="G46" s="2" t="s">
        <v>334</v>
      </c>
      <c r="H46" s="2" t="s">
        <v>47</v>
      </c>
      <c r="I46" s="2" t="s">
        <v>48</v>
      </c>
      <c r="J46" s="2" t="s">
        <v>21</v>
      </c>
      <c r="K46" s="2" t="s">
        <v>22</v>
      </c>
      <c r="L46" s="2" t="s">
        <v>335</v>
      </c>
      <c r="M46" s="2"/>
    </row>
    <row r="47" customFormat="false" ht="23.85" hidden="false" customHeight="false" outlineLevel="0" collapsed="false">
      <c r="A47" s="2" t="s">
        <v>336</v>
      </c>
      <c r="B47" s="3" t="s">
        <v>337</v>
      </c>
      <c r="C47" s="2" t="s">
        <v>338</v>
      </c>
      <c r="D47" s="2" t="s">
        <v>231</v>
      </c>
      <c r="E47" s="2" t="s">
        <v>339</v>
      </c>
      <c r="F47" s="2" t="s">
        <v>340</v>
      </c>
      <c r="G47" s="2" t="s">
        <v>341</v>
      </c>
      <c r="H47" s="2"/>
      <c r="I47" s="2" t="s">
        <v>119</v>
      </c>
      <c r="J47" s="2" t="s">
        <v>86</v>
      </c>
      <c r="K47" s="2" t="s">
        <v>72</v>
      </c>
      <c r="L47" s="2" t="s">
        <v>342</v>
      </c>
      <c r="M47" s="2"/>
    </row>
    <row r="48" customFormat="false" ht="23.85" hidden="false" customHeight="false" outlineLevel="0" collapsed="false">
      <c r="A48" s="2" t="s">
        <v>343</v>
      </c>
      <c r="B48" s="3" t="s">
        <v>344</v>
      </c>
      <c r="C48" s="2" t="s">
        <v>345</v>
      </c>
      <c r="D48" s="2" t="s">
        <v>82</v>
      </c>
      <c r="E48" s="2" t="s">
        <v>346</v>
      </c>
      <c r="F48" s="2" t="s">
        <v>347</v>
      </c>
      <c r="G48" s="2" t="s">
        <v>348</v>
      </c>
      <c r="H48" s="2" t="s">
        <v>329</v>
      </c>
      <c r="I48" s="2" t="s">
        <v>20</v>
      </c>
      <c r="J48" s="2" t="s">
        <v>71</v>
      </c>
      <c r="K48" s="2" t="s">
        <v>72</v>
      </c>
      <c r="L48" s="2" t="s">
        <v>349</v>
      </c>
      <c r="M48" s="2"/>
    </row>
    <row r="49" customFormat="false" ht="15" hidden="false" customHeight="false" outlineLevel="0" collapsed="false">
      <c r="A49" s="2" t="s">
        <v>350</v>
      </c>
      <c r="B49" s="3" t="s">
        <v>351</v>
      </c>
      <c r="C49" s="2"/>
      <c r="D49" s="2" t="s">
        <v>82</v>
      </c>
      <c r="E49" s="2" t="s">
        <v>60</v>
      </c>
      <c r="F49" s="2" t="s">
        <v>352</v>
      </c>
      <c r="G49" s="2" t="s">
        <v>353</v>
      </c>
      <c r="H49" s="2" t="s">
        <v>47</v>
      </c>
      <c r="I49" s="2" t="s">
        <v>63</v>
      </c>
      <c r="J49" s="2" t="s">
        <v>21</v>
      </c>
      <c r="K49" s="2" t="s">
        <v>22</v>
      </c>
      <c r="L49" s="2" t="s">
        <v>354</v>
      </c>
      <c r="M49" s="2"/>
    </row>
    <row r="50" customFormat="false" ht="23.85" hidden="false" customHeight="false" outlineLevel="0" collapsed="false">
      <c r="A50" s="2" t="s">
        <v>355</v>
      </c>
      <c r="B50" s="3" t="s">
        <v>356</v>
      </c>
      <c r="C50" s="2"/>
      <c r="D50" s="2" t="s">
        <v>52</v>
      </c>
      <c r="E50" s="2" t="s">
        <v>53</v>
      </c>
      <c r="F50" s="2" t="s">
        <v>357</v>
      </c>
      <c r="G50" s="2" t="s">
        <v>358</v>
      </c>
      <c r="H50" s="2"/>
      <c r="I50" s="2" t="s">
        <v>48</v>
      </c>
      <c r="J50" s="2" t="s">
        <v>21</v>
      </c>
      <c r="K50" s="2" t="s">
        <v>22</v>
      </c>
      <c r="L50" s="2" t="s">
        <v>359</v>
      </c>
      <c r="M50" s="2"/>
    </row>
    <row r="51" customFormat="false" ht="23.85" hidden="false" customHeight="false" outlineLevel="0" collapsed="false">
      <c r="A51" s="2" t="s">
        <v>360</v>
      </c>
      <c r="B51" s="3" t="s">
        <v>361</v>
      </c>
      <c r="C51" s="2" t="s">
        <v>362</v>
      </c>
      <c r="D51" s="2" t="s">
        <v>106</v>
      </c>
      <c r="E51" s="2" t="s">
        <v>53</v>
      </c>
      <c r="F51" s="2" t="s">
        <v>363</v>
      </c>
      <c r="G51" s="2" t="s">
        <v>364</v>
      </c>
      <c r="H51" s="2" t="s">
        <v>110</v>
      </c>
      <c r="I51" s="2" t="s">
        <v>29</v>
      </c>
      <c r="J51" s="2" t="s">
        <v>21</v>
      </c>
      <c r="K51" s="2" t="s">
        <v>72</v>
      </c>
      <c r="L51" s="2" t="s">
        <v>365</v>
      </c>
      <c r="M51" s="2" t="s">
        <v>366</v>
      </c>
    </row>
    <row r="52" customFormat="false" ht="23.85" hidden="false" customHeight="false" outlineLevel="0" collapsed="false">
      <c r="A52" s="2" t="s">
        <v>367</v>
      </c>
      <c r="B52" s="3" t="s">
        <v>368</v>
      </c>
      <c r="C52" s="2" t="s">
        <v>369</v>
      </c>
      <c r="D52" s="2" t="s">
        <v>15</v>
      </c>
      <c r="E52" s="2" t="s">
        <v>99</v>
      </c>
      <c r="F52" s="2" t="s">
        <v>370</v>
      </c>
      <c r="G52" s="2" t="s">
        <v>371</v>
      </c>
      <c r="H52" s="2" t="s">
        <v>372</v>
      </c>
      <c r="I52" s="2" t="s">
        <v>138</v>
      </c>
      <c r="J52" s="2" t="s">
        <v>71</v>
      </c>
      <c r="K52" s="2" t="s">
        <v>72</v>
      </c>
      <c r="L52" s="2" t="s">
        <v>373</v>
      </c>
      <c r="M52" s="2"/>
    </row>
    <row r="53" customFormat="false" ht="23.85" hidden="false" customHeight="false" outlineLevel="0" collapsed="false">
      <c r="A53" s="2" t="s">
        <v>374</v>
      </c>
      <c r="B53" s="3" t="s">
        <v>375</v>
      </c>
      <c r="C53" s="2" t="s">
        <v>376</v>
      </c>
      <c r="D53" s="2" t="s">
        <v>179</v>
      </c>
      <c r="E53" s="2" t="s">
        <v>375</v>
      </c>
      <c r="F53" s="2" t="s">
        <v>377</v>
      </c>
      <c r="G53" s="2" t="s">
        <v>378</v>
      </c>
      <c r="H53" s="2"/>
      <c r="I53" s="2" t="s">
        <v>48</v>
      </c>
      <c r="J53" s="2" t="s">
        <v>71</v>
      </c>
      <c r="K53" s="2" t="s">
        <v>22</v>
      </c>
      <c r="L53" s="2" t="s">
        <v>379</v>
      </c>
      <c r="M53" s="2"/>
    </row>
    <row r="54" customFormat="false" ht="15" hidden="false" customHeight="false" outlineLevel="0" collapsed="false">
      <c r="A54" s="2" t="s">
        <v>380</v>
      </c>
      <c r="B54" s="3" t="s">
        <v>381</v>
      </c>
      <c r="C54" s="2"/>
      <c r="D54" s="2" t="s">
        <v>106</v>
      </c>
      <c r="E54" s="2" t="s">
        <v>53</v>
      </c>
      <c r="F54" s="2" t="s">
        <v>382</v>
      </c>
      <c r="G54" s="2" t="s">
        <v>383</v>
      </c>
      <c r="H54" s="2"/>
      <c r="I54" s="2" t="s">
        <v>48</v>
      </c>
      <c r="J54" s="2" t="s">
        <v>71</v>
      </c>
      <c r="K54" s="2" t="s">
        <v>22</v>
      </c>
      <c r="L54" s="2" t="s">
        <v>384</v>
      </c>
      <c r="M54" s="2"/>
    </row>
    <row r="55" customFormat="false" ht="15" hidden="false" customHeight="false" outlineLevel="0" collapsed="false">
      <c r="A55" s="2" t="s">
        <v>385</v>
      </c>
      <c r="B55" s="3" t="s">
        <v>386</v>
      </c>
      <c r="C55" s="2"/>
      <c r="D55" s="2" t="s">
        <v>52</v>
      </c>
      <c r="E55" s="2" t="s">
        <v>53</v>
      </c>
      <c r="F55" s="2" t="s">
        <v>387</v>
      </c>
      <c r="G55" s="2" t="s">
        <v>388</v>
      </c>
      <c r="H55" s="2" t="s">
        <v>47</v>
      </c>
      <c r="I55" s="2" t="s">
        <v>48</v>
      </c>
      <c r="J55" s="2" t="s">
        <v>71</v>
      </c>
      <c r="K55" s="2" t="s">
        <v>22</v>
      </c>
      <c r="L55" s="2" t="s">
        <v>389</v>
      </c>
      <c r="M55" s="2"/>
    </row>
    <row r="56" customFormat="false" ht="23.85" hidden="false" customHeight="false" outlineLevel="0" collapsed="false">
      <c r="A56" s="2" t="s">
        <v>390</v>
      </c>
      <c r="B56" s="3" t="s">
        <v>391</v>
      </c>
      <c r="C56" s="2" t="s">
        <v>392</v>
      </c>
      <c r="D56" s="2" t="s">
        <v>15</v>
      </c>
      <c r="E56" s="2" t="s">
        <v>99</v>
      </c>
      <c r="F56" s="2" t="s">
        <v>393</v>
      </c>
      <c r="G56" s="2" t="s">
        <v>394</v>
      </c>
      <c r="H56" s="2" t="s">
        <v>47</v>
      </c>
      <c r="I56" s="2" t="s">
        <v>138</v>
      </c>
      <c r="J56" s="2" t="s">
        <v>86</v>
      </c>
      <c r="K56" s="2" t="s">
        <v>72</v>
      </c>
      <c r="L56" s="2" t="s">
        <v>395</v>
      </c>
      <c r="M56" s="2" t="s">
        <v>396</v>
      </c>
    </row>
    <row r="57" customFormat="false" ht="23.85" hidden="false" customHeight="false" outlineLevel="0" collapsed="false">
      <c r="A57" s="2" t="s">
        <v>397</v>
      </c>
      <c r="B57" s="3" t="s">
        <v>398</v>
      </c>
      <c r="C57" s="2" t="s">
        <v>399</v>
      </c>
      <c r="D57" s="2" t="s">
        <v>15</v>
      </c>
      <c r="E57" s="2" t="s">
        <v>400</v>
      </c>
      <c r="F57" s="2" t="s">
        <v>401</v>
      </c>
      <c r="G57" s="2" t="s">
        <v>402</v>
      </c>
      <c r="H57" s="2" t="s">
        <v>403</v>
      </c>
      <c r="I57" s="2" t="s">
        <v>29</v>
      </c>
      <c r="J57" s="2" t="s">
        <v>71</v>
      </c>
      <c r="K57" s="2" t="s">
        <v>22</v>
      </c>
      <c r="L57" s="2" t="s">
        <v>404</v>
      </c>
      <c r="M57" s="2"/>
    </row>
    <row r="58" customFormat="false" ht="23.85" hidden="false" customHeight="false" outlineLevel="0" collapsed="false">
      <c r="A58" s="2" t="s">
        <v>405</v>
      </c>
      <c r="B58" s="3" t="s">
        <v>406</v>
      </c>
      <c r="C58" s="2" t="s">
        <v>407</v>
      </c>
      <c r="D58" s="2" t="s">
        <v>106</v>
      </c>
      <c r="E58" s="2" t="s">
        <v>53</v>
      </c>
      <c r="F58" s="2" t="s">
        <v>408</v>
      </c>
      <c r="G58" s="2" t="s">
        <v>409</v>
      </c>
      <c r="H58" s="2" t="s">
        <v>410</v>
      </c>
      <c r="I58" s="2" t="s">
        <v>78</v>
      </c>
      <c r="J58" s="2" t="s">
        <v>21</v>
      </c>
      <c r="K58" s="2" t="s">
        <v>72</v>
      </c>
      <c r="L58" s="2" t="s">
        <v>411</v>
      </c>
      <c r="M58" s="2" t="s">
        <v>412</v>
      </c>
    </row>
    <row r="59" customFormat="false" ht="15" hidden="false" customHeight="false" outlineLevel="0" collapsed="false">
      <c r="A59" s="2" t="s">
        <v>413</v>
      </c>
      <c r="B59" s="3" t="s">
        <v>414</v>
      </c>
      <c r="C59" s="2"/>
      <c r="D59" s="2" t="s">
        <v>15</v>
      </c>
      <c r="E59" s="2" t="s">
        <v>16</v>
      </c>
      <c r="F59" s="2" t="s">
        <v>415</v>
      </c>
      <c r="G59" s="2" t="s">
        <v>416</v>
      </c>
      <c r="H59" s="2" t="s">
        <v>47</v>
      </c>
      <c r="I59" s="2" t="s">
        <v>138</v>
      </c>
      <c r="J59" s="2" t="s">
        <v>86</v>
      </c>
      <c r="K59" s="2" t="s">
        <v>72</v>
      </c>
      <c r="L59" s="2" t="s">
        <v>417</v>
      </c>
      <c r="M59" s="2"/>
    </row>
    <row r="60" customFormat="false" ht="15" hidden="false" customHeight="false" outlineLevel="0" collapsed="false">
      <c r="A60" s="2" t="s">
        <v>418</v>
      </c>
      <c r="B60" s="3" t="s">
        <v>419</v>
      </c>
      <c r="C60" s="2"/>
      <c r="D60" s="2" t="s">
        <v>15</v>
      </c>
      <c r="E60" s="2" t="s">
        <v>16</v>
      </c>
      <c r="F60" s="2" t="s">
        <v>420</v>
      </c>
      <c r="G60" s="2" t="s">
        <v>421</v>
      </c>
      <c r="H60" s="2" t="s">
        <v>47</v>
      </c>
      <c r="I60" s="2" t="s">
        <v>138</v>
      </c>
      <c r="J60" s="2" t="s">
        <v>71</v>
      </c>
      <c r="K60" s="2" t="s">
        <v>72</v>
      </c>
      <c r="L60" s="2" t="s">
        <v>422</v>
      </c>
      <c r="M60" s="2"/>
    </row>
    <row r="61" customFormat="false" ht="23.85" hidden="false" customHeight="false" outlineLevel="0" collapsed="false">
      <c r="A61" s="2" t="s">
        <v>417</v>
      </c>
      <c r="B61" s="3" t="s">
        <v>423</v>
      </c>
      <c r="C61" s="2"/>
      <c r="D61" s="2" t="s">
        <v>15</v>
      </c>
      <c r="E61" s="2" t="s">
        <v>16</v>
      </c>
      <c r="F61" s="2" t="s">
        <v>424</v>
      </c>
      <c r="G61" s="2" t="s">
        <v>425</v>
      </c>
      <c r="H61" s="2" t="s">
        <v>47</v>
      </c>
      <c r="I61" s="2" t="s">
        <v>182</v>
      </c>
      <c r="J61" s="2" t="s">
        <v>86</v>
      </c>
      <c r="K61" s="2" t="s">
        <v>87</v>
      </c>
      <c r="L61" s="2" t="s">
        <v>426</v>
      </c>
      <c r="M61" s="2"/>
    </row>
    <row r="62" customFormat="false" ht="23.85" hidden="false" customHeight="false" outlineLevel="0" collapsed="false">
      <c r="A62" s="2" t="s">
        <v>427</v>
      </c>
      <c r="B62" s="3" t="s">
        <v>428</v>
      </c>
      <c r="C62" s="2" t="s">
        <v>429</v>
      </c>
      <c r="D62" s="2" t="s">
        <v>82</v>
      </c>
      <c r="E62" s="2" t="s">
        <v>216</v>
      </c>
      <c r="F62" s="2" t="s">
        <v>430</v>
      </c>
      <c r="G62" s="2" t="s">
        <v>431</v>
      </c>
      <c r="H62" s="2" t="s">
        <v>47</v>
      </c>
      <c r="I62" s="2" t="s">
        <v>63</v>
      </c>
      <c r="J62" s="2" t="s">
        <v>21</v>
      </c>
      <c r="K62" s="2" t="s">
        <v>22</v>
      </c>
      <c r="L62" s="2" t="s">
        <v>432</v>
      </c>
      <c r="M62" s="2" t="s">
        <v>433</v>
      </c>
    </row>
    <row r="63" customFormat="false" ht="23.85" hidden="false" customHeight="false" outlineLevel="0" collapsed="false">
      <c r="A63" s="2" t="s">
        <v>434</v>
      </c>
      <c r="B63" s="3" t="s">
        <v>435</v>
      </c>
      <c r="C63" s="2" t="s">
        <v>436</v>
      </c>
      <c r="D63" s="2" t="s">
        <v>238</v>
      </c>
      <c r="E63" s="2" t="s">
        <v>16</v>
      </c>
      <c r="F63" s="2" t="s">
        <v>437</v>
      </c>
      <c r="G63" s="2" t="s">
        <v>438</v>
      </c>
      <c r="H63" s="2" t="s">
        <v>241</v>
      </c>
      <c r="I63" s="2" t="s">
        <v>78</v>
      </c>
      <c r="J63" s="2" t="s">
        <v>71</v>
      </c>
      <c r="K63" s="2" t="s">
        <v>22</v>
      </c>
      <c r="L63" s="2" t="s">
        <v>439</v>
      </c>
      <c r="M63" s="2" t="s">
        <v>440</v>
      </c>
    </row>
    <row r="64" customFormat="false" ht="23.85" hidden="false" customHeight="false" outlineLevel="0" collapsed="false">
      <c r="A64" s="2" t="s">
        <v>441</v>
      </c>
      <c r="B64" s="3" t="s">
        <v>442</v>
      </c>
      <c r="C64" s="2" t="s">
        <v>443</v>
      </c>
      <c r="D64" s="2" t="s">
        <v>15</v>
      </c>
      <c r="E64" s="2" t="s">
        <v>99</v>
      </c>
      <c r="F64" s="2" t="s">
        <v>444</v>
      </c>
      <c r="G64" s="2" t="s">
        <v>445</v>
      </c>
      <c r="H64" s="2" t="s">
        <v>47</v>
      </c>
      <c r="I64" s="2" t="s">
        <v>85</v>
      </c>
      <c r="J64" s="2" t="s">
        <v>21</v>
      </c>
      <c r="K64" s="2" t="s">
        <v>22</v>
      </c>
      <c r="L64" s="2" t="s">
        <v>446</v>
      </c>
      <c r="M64" s="2"/>
    </row>
    <row r="65" customFormat="false" ht="15" hidden="false" customHeight="false" outlineLevel="0" collapsed="false">
      <c r="A65" s="2" t="s">
        <v>447</v>
      </c>
      <c r="B65" s="3" t="s">
        <v>448</v>
      </c>
      <c r="C65" s="2" t="s">
        <v>449</v>
      </c>
      <c r="D65" s="2" t="s">
        <v>59</v>
      </c>
      <c r="E65" s="2" t="s">
        <v>53</v>
      </c>
      <c r="F65" s="2" t="s">
        <v>450</v>
      </c>
      <c r="G65" s="2" t="s">
        <v>451</v>
      </c>
      <c r="H65" s="2" t="s">
        <v>452</v>
      </c>
      <c r="I65" s="2" t="s">
        <v>138</v>
      </c>
      <c r="J65" s="2" t="s">
        <v>86</v>
      </c>
      <c r="K65" s="2" t="s">
        <v>87</v>
      </c>
      <c r="L65" s="2" t="s">
        <v>453</v>
      </c>
      <c r="M65" s="2"/>
    </row>
    <row r="66" customFormat="false" ht="23.85" hidden="false" customHeight="false" outlineLevel="0" collapsed="false">
      <c r="A66" s="2" t="s">
        <v>454</v>
      </c>
      <c r="B66" s="3" t="s">
        <v>455</v>
      </c>
      <c r="C66" s="2" t="s">
        <v>456</v>
      </c>
      <c r="D66" s="2" t="s">
        <v>223</v>
      </c>
      <c r="E66" s="2" t="s">
        <v>53</v>
      </c>
      <c r="F66" s="2" t="s">
        <v>457</v>
      </c>
      <c r="G66" s="2" t="s">
        <v>458</v>
      </c>
      <c r="H66" s="2" t="s">
        <v>19</v>
      </c>
      <c r="I66" s="2" t="s">
        <v>182</v>
      </c>
      <c r="J66" s="2" t="s">
        <v>86</v>
      </c>
      <c r="K66" s="2" t="s">
        <v>87</v>
      </c>
      <c r="L66" s="2" t="s">
        <v>459</v>
      </c>
      <c r="M66" s="2"/>
    </row>
    <row r="67" customFormat="false" ht="23.85" hidden="false" customHeight="false" outlineLevel="0" collapsed="false">
      <c r="A67" s="2" t="s">
        <v>460</v>
      </c>
      <c r="B67" s="3" t="s">
        <v>461</v>
      </c>
      <c r="C67" s="2" t="s">
        <v>462</v>
      </c>
      <c r="D67" s="2" t="s">
        <v>106</v>
      </c>
      <c r="E67" s="2" t="s">
        <v>53</v>
      </c>
      <c r="F67" s="2" t="s">
        <v>463</v>
      </c>
      <c r="G67" s="2" t="s">
        <v>464</v>
      </c>
      <c r="H67" s="2" t="s">
        <v>410</v>
      </c>
      <c r="I67" s="2" t="s">
        <v>256</v>
      </c>
      <c r="J67" s="2" t="s">
        <v>21</v>
      </c>
      <c r="K67" s="2" t="s">
        <v>22</v>
      </c>
      <c r="L67" s="2" t="s">
        <v>465</v>
      </c>
      <c r="M67" s="2"/>
    </row>
    <row r="68" customFormat="false" ht="23.85" hidden="false" customHeight="false" outlineLevel="0" collapsed="false">
      <c r="A68" s="2" t="s">
        <v>466</v>
      </c>
      <c r="B68" s="3" t="s">
        <v>467</v>
      </c>
      <c r="C68" s="2" t="s">
        <v>468</v>
      </c>
      <c r="D68" s="2" t="s">
        <v>231</v>
      </c>
      <c r="E68" s="2" t="s">
        <v>53</v>
      </c>
      <c r="F68" s="2" t="s">
        <v>469</v>
      </c>
      <c r="G68" s="2" t="s">
        <v>470</v>
      </c>
      <c r="H68" s="2" t="s">
        <v>241</v>
      </c>
      <c r="I68" s="2" t="s">
        <v>78</v>
      </c>
      <c r="J68" s="2" t="s">
        <v>71</v>
      </c>
      <c r="K68" s="2" t="s">
        <v>72</v>
      </c>
      <c r="L68" s="2" t="s">
        <v>471</v>
      </c>
      <c r="M68" s="2" t="s">
        <v>472</v>
      </c>
    </row>
    <row r="69" customFormat="false" ht="23.85" hidden="false" customHeight="false" outlineLevel="0" collapsed="false">
      <c r="A69" s="2" t="s">
        <v>473</v>
      </c>
      <c r="B69" s="3" t="s">
        <v>474</v>
      </c>
      <c r="C69" s="2" t="s">
        <v>475</v>
      </c>
      <c r="D69" s="2" t="s">
        <v>59</v>
      </c>
      <c r="E69" s="2" t="s">
        <v>35</v>
      </c>
      <c r="F69" s="2" t="s">
        <v>476</v>
      </c>
      <c r="G69" s="2" t="s">
        <v>477</v>
      </c>
      <c r="H69" s="2" t="s">
        <v>47</v>
      </c>
      <c r="I69" s="2" t="s">
        <v>85</v>
      </c>
      <c r="J69" s="2" t="s">
        <v>71</v>
      </c>
      <c r="K69" s="2" t="s">
        <v>72</v>
      </c>
      <c r="L69" s="2" t="s">
        <v>478</v>
      </c>
      <c r="M69" s="2"/>
    </row>
    <row r="70" customFormat="false" ht="15" hidden="false" customHeight="false" outlineLevel="0" collapsed="false">
      <c r="A70" s="2" t="s">
        <v>479</v>
      </c>
      <c r="B70" s="3" t="s">
        <v>480</v>
      </c>
      <c r="C70" s="2"/>
      <c r="D70" s="2" t="s">
        <v>82</v>
      </c>
      <c r="E70" s="2" t="s">
        <v>53</v>
      </c>
      <c r="F70" s="2" t="s">
        <v>481</v>
      </c>
      <c r="G70" s="2" t="s">
        <v>482</v>
      </c>
      <c r="H70" s="2" t="s">
        <v>403</v>
      </c>
      <c r="I70" s="2" t="s">
        <v>48</v>
      </c>
      <c r="J70" s="2" t="s">
        <v>71</v>
      </c>
      <c r="K70" s="2" t="s">
        <v>72</v>
      </c>
      <c r="L70" s="2" t="s">
        <v>483</v>
      </c>
      <c r="M70" s="2"/>
    </row>
    <row r="71" customFormat="false" ht="23.85" hidden="false" customHeight="false" outlineLevel="0" collapsed="false">
      <c r="A71" s="2" t="s">
        <v>484</v>
      </c>
      <c r="B71" s="3" t="s">
        <v>485</v>
      </c>
      <c r="C71" s="2" t="s">
        <v>486</v>
      </c>
      <c r="D71" s="2" t="s">
        <v>106</v>
      </c>
      <c r="E71" s="2" t="s">
        <v>487</v>
      </c>
      <c r="F71" s="2" t="s">
        <v>488</v>
      </c>
      <c r="G71" s="2" t="s">
        <v>489</v>
      </c>
      <c r="H71" s="2" t="s">
        <v>110</v>
      </c>
      <c r="I71" s="2" t="s">
        <v>48</v>
      </c>
      <c r="J71" s="2" t="s">
        <v>21</v>
      </c>
      <c r="K71" s="2" t="s">
        <v>22</v>
      </c>
      <c r="L71" s="2" t="s">
        <v>490</v>
      </c>
      <c r="M71" s="2"/>
    </row>
    <row r="72" customFormat="false" ht="15" hidden="false" customHeight="false" outlineLevel="0" collapsed="false">
      <c r="A72" s="2" t="s">
        <v>491</v>
      </c>
      <c r="B72" s="3" t="s">
        <v>492</v>
      </c>
      <c r="C72" s="2" t="s">
        <v>493</v>
      </c>
      <c r="D72" s="2" t="s">
        <v>238</v>
      </c>
      <c r="E72" s="2" t="s">
        <v>494</v>
      </c>
      <c r="F72" s="2" t="s">
        <v>495</v>
      </c>
      <c r="G72" s="2" t="s">
        <v>496</v>
      </c>
      <c r="H72" s="2" t="s">
        <v>241</v>
      </c>
      <c r="I72" s="2" t="s">
        <v>85</v>
      </c>
      <c r="J72" s="2" t="s">
        <v>71</v>
      </c>
      <c r="K72" s="2" t="s">
        <v>22</v>
      </c>
      <c r="L72" s="2" t="s">
        <v>497</v>
      </c>
      <c r="M72" s="2"/>
    </row>
    <row r="73" customFormat="false" ht="15" hidden="false" customHeight="false" outlineLevel="0" collapsed="false">
      <c r="A73" s="2" t="s">
        <v>498</v>
      </c>
      <c r="B73" s="3" t="s">
        <v>499</v>
      </c>
      <c r="C73" s="2"/>
      <c r="D73" s="2" t="s">
        <v>82</v>
      </c>
      <c r="E73" s="2" t="s">
        <v>53</v>
      </c>
      <c r="F73" s="2" t="s">
        <v>500</v>
      </c>
      <c r="G73" s="2" t="s">
        <v>501</v>
      </c>
      <c r="H73" s="2" t="s">
        <v>47</v>
      </c>
      <c r="I73" s="2" t="s">
        <v>29</v>
      </c>
      <c r="J73" s="2" t="s">
        <v>71</v>
      </c>
      <c r="K73" s="2" t="s">
        <v>22</v>
      </c>
      <c r="L73" s="2" t="s">
        <v>502</v>
      </c>
      <c r="M73" s="2"/>
    </row>
    <row r="74" customFormat="false" ht="23.85" hidden="false" customHeight="false" outlineLevel="0" collapsed="false">
      <c r="A74" s="2" t="s">
        <v>502</v>
      </c>
      <c r="B74" s="3" t="s">
        <v>503</v>
      </c>
      <c r="C74" s="2" t="s">
        <v>504</v>
      </c>
      <c r="D74" s="2" t="s">
        <v>59</v>
      </c>
      <c r="E74" s="2" t="s">
        <v>505</v>
      </c>
      <c r="F74" s="2" t="s">
        <v>506</v>
      </c>
      <c r="G74" s="2" t="s">
        <v>507</v>
      </c>
      <c r="H74" s="2" t="s">
        <v>452</v>
      </c>
      <c r="I74" s="2" t="s">
        <v>508</v>
      </c>
      <c r="J74" s="2" t="s">
        <v>71</v>
      </c>
      <c r="K74" s="2" t="s">
        <v>72</v>
      </c>
      <c r="L74" s="2" t="s">
        <v>509</v>
      </c>
      <c r="M74" s="2" t="s">
        <v>510</v>
      </c>
    </row>
    <row r="75" customFormat="false" ht="15" hidden="false" customHeight="false" outlineLevel="0" collapsed="false">
      <c r="A75" s="2" t="s">
        <v>511</v>
      </c>
      <c r="B75" s="3" t="s">
        <v>512</v>
      </c>
      <c r="C75" s="2"/>
      <c r="D75" s="2" t="s">
        <v>251</v>
      </c>
      <c r="E75" s="2" t="s">
        <v>251</v>
      </c>
      <c r="F75" s="2" t="s">
        <v>513</v>
      </c>
      <c r="G75" s="2" t="s">
        <v>514</v>
      </c>
      <c r="H75" s="2" t="s">
        <v>110</v>
      </c>
      <c r="I75" s="2" t="s">
        <v>111</v>
      </c>
      <c r="J75" s="2" t="s">
        <v>21</v>
      </c>
      <c r="K75" s="2" t="s">
        <v>22</v>
      </c>
      <c r="L75" s="2" t="s">
        <v>515</v>
      </c>
      <c r="M75" s="2"/>
    </row>
    <row r="76" customFormat="false" ht="23.85" hidden="false" customHeight="false" outlineLevel="0" collapsed="false">
      <c r="A76" s="2" t="s">
        <v>516</v>
      </c>
      <c r="B76" s="3" t="s">
        <v>517</v>
      </c>
      <c r="C76" s="2"/>
      <c r="D76" s="2" t="s">
        <v>251</v>
      </c>
      <c r="E76" s="2" t="s">
        <v>518</v>
      </c>
      <c r="F76" s="2" t="s">
        <v>519</v>
      </c>
      <c r="G76" s="2" t="s">
        <v>520</v>
      </c>
      <c r="H76" s="2" t="s">
        <v>521</v>
      </c>
      <c r="I76" s="2" t="s">
        <v>48</v>
      </c>
      <c r="J76" s="2" t="s">
        <v>21</v>
      </c>
      <c r="K76" s="2" t="s">
        <v>72</v>
      </c>
      <c r="L76" s="2" t="s">
        <v>522</v>
      </c>
      <c r="M76" s="2"/>
    </row>
    <row r="77" customFormat="false" ht="15" hidden="false" customHeight="false" outlineLevel="0" collapsed="false">
      <c r="A77" s="2" t="s">
        <v>523</v>
      </c>
      <c r="B77" s="3" t="s">
        <v>524</v>
      </c>
      <c r="C77" s="2"/>
      <c r="D77" s="2" t="s">
        <v>34</v>
      </c>
      <c r="E77" s="2" t="s">
        <v>116</v>
      </c>
      <c r="F77" s="2" t="s">
        <v>525</v>
      </c>
      <c r="G77" s="2" t="s">
        <v>526</v>
      </c>
      <c r="H77" s="2" t="s">
        <v>47</v>
      </c>
      <c r="I77" s="2" t="s">
        <v>29</v>
      </c>
      <c r="J77" s="2" t="s">
        <v>71</v>
      </c>
      <c r="K77" s="2" t="s">
        <v>22</v>
      </c>
      <c r="L77" s="2" t="s">
        <v>527</v>
      </c>
      <c r="M77" s="2"/>
    </row>
    <row r="78" customFormat="false" ht="15" hidden="false" customHeight="false" outlineLevel="0" collapsed="false">
      <c r="A78" s="2" t="s">
        <v>528</v>
      </c>
      <c r="B78" s="3" t="s">
        <v>529</v>
      </c>
      <c r="C78" s="2"/>
      <c r="D78" s="2" t="s">
        <v>179</v>
      </c>
      <c r="E78" s="2" t="s">
        <v>53</v>
      </c>
      <c r="F78" s="2" t="s">
        <v>530</v>
      </c>
      <c r="G78" s="2" t="s">
        <v>531</v>
      </c>
      <c r="H78" s="2"/>
      <c r="I78" s="2" t="s">
        <v>256</v>
      </c>
      <c r="J78" s="2" t="s">
        <v>21</v>
      </c>
      <c r="K78" s="2" t="s">
        <v>22</v>
      </c>
      <c r="L78" s="2" t="s">
        <v>532</v>
      </c>
      <c r="M78" s="2"/>
    </row>
    <row r="79" customFormat="false" ht="15" hidden="false" customHeight="false" outlineLevel="0" collapsed="false">
      <c r="A79" s="2" t="s">
        <v>533</v>
      </c>
      <c r="B79" s="3" t="s">
        <v>534</v>
      </c>
      <c r="C79" s="2"/>
      <c r="D79" s="2" t="s">
        <v>223</v>
      </c>
      <c r="E79" s="2" t="s">
        <v>535</v>
      </c>
      <c r="F79" s="2" t="s">
        <v>536</v>
      </c>
      <c r="G79" s="2" t="s">
        <v>537</v>
      </c>
      <c r="H79" s="2" t="s">
        <v>28</v>
      </c>
      <c r="I79" s="2" t="s">
        <v>29</v>
      </c>
      <c r="J79" s="2" t="s">
        <v>71</v>
      </c>
      <c r="K79" s="2" t="s">
        <v>22</v>
      </c>
      <c r="L79" s="2" t="s">
        <v>538</v>
      </c>
      <c r="M79" s="2"/>
    </row>
    <row r="80" customFormat="false" ht="15" hidden="false" customHeight="false" outlineLevel="0" collapsed="false">
      <c r="A80" s="2" t="s">
        <v>539</v>
      </c>
      <c r="B80" s="3" t="s">
        <v>540</v>
      </c>
      <c r="C80" s="2"/>
      <c r="D80" s="2" t="s">
        <v>43</v>
      </c>
      <c r="E80" s="2" t="s">
        <v>53</v>
      </c>
      <c r="F80" s="2" t="s">
        <v>541</v>
      </c>
      <c r="G80" s="2" t="s">
        <v>542</v>
      </c>
      <c r="H80" s="2" t="s">
        <v>543</v>
      </c>
      <c r="I80" s="2" t="s">
        <v>111</v>
      </c>
      <c r="J80" s="2" t="s">
        <v>71</v>
      </c>
      <c r="K80" s="2" t="s">
        <v>22</v>
      </c>
      <c r="L80" s="2" t="s">
        <v>544</v>
      </c>
      <c r="M80" s="2"/>
    </row>
    <row r="81" customFormat="false" ht="15" hidden="false" customHeight="false" outlineLevel="0" collapsed="false">
      <c r="A81" s="2" t="s">
        <v>545</v>
      </c>
      <c r="B81" s="3" t="s">
        <v>546</v>
      </c>
      <c r="C81" s="2" t="s">
        <v>547</v>
      </c>
      <c r="D81" s="2" t="s">
        <v>82</v>
      </c>
      <c r="E81" s="2" t="s">
        <v>548</v>
      </c>
      <c r="F81" s="2" t="s">
        <v>549</v>
      </c>
      <c r="G81" s="2" t="s">
        <v>550</v>
      </c>
      <c r="H81" s="2" t="s">
        <v>47</v>
      </c>
      <c r="I81" s="2" t="s">
        <v>85</v>
      </c>
      <c r="J81" s="2" t="s">
        <v>71</v>
      </c>
      <c r="K81" s="2" t="s">
        <v>22</v>
      </c>
      <c r="L81" s="2" t="s">
        <v>551</v>
      </c>
      <c r="M81" s="2"/>
    </row>
    <row r="82" customFormat="false" ht="23.85" hidden="false" customHeight="false" outlineLevel="0" collapsed="false">
      <c r="A82" s="2" t="s">
        <v>552</v>
      </c>
      <c r="B82" s="3" t="s">
        <v>553</v>
      </c>
      <c r="C82" s="2" t="s">
        <v>554</v>
      </c>
      <c r="D82" s="2" t="s">
        <v>15</v>
      </c>
      <c r="E82" s="2" t="s">
        <v>16</v>
      </c>
      <c r="F82" s="2" t="s">
        <v>555</v>
      </c>
      <c r="G82" s="2" t="s">
        <v>556</v>
      </c>
      <c r="H82" s="2" t="s">
        <v>47</v>
      </c>
      <c r="I82" s="2" t="s">
        <v>138</v>
      </c>
      <c r="J82" s="2" t="s">
        <v>71</v>
      </c>
      <c r="K82" s="2" t="s">
        <v>22</v>
      </c>
      <c r="L82" s="2" t="s">
        <v>557</v>
      </c>
      <c r="M82" s="2"/>
    </row>
    <row r="83" customFormat="false" ht="23.85" hidden="false" customHeight="false" outlineLevel="0" collapsed="false">
      <c r="A83" s="2" t="s">
        <v>558</v>
      </c>
      <c r="B83" s="3" t="s">
        <v>559</v>
      </c>
      <c r="C83" s="2" t="s">
        <v>560</v>
      </c>
      <c r="D83" s="2" t="s">
        <v>82</v>
      </c>
      <c r="E83" s="2" t="s">
        <v>561</v>
      </c>
      <c r="F83" s="2" t="s">
        <v>562</v>
      </c>
      <c r="G83" s="2" t="s">
        <v>563</v>
      </c>
      <c r="H83" s="2" t="s">
        <v>47</v>
      </c>
      <c r="I83" s="2" t="s">
        <v>63</v>
      </c>
      <c r="J83" s="2" t="s">
        <v>21</v>
      </c>
      <c r="K83" s="2" t="s">
        <v>22</v>
      </c>
      <c r="L83" s="2" t="s">
        <v>564</v>
      </c>
      <c r="M83" s="2" t="s">
        <v>565</v>
      </c>
    </row>
    <row r="84" customFormat="false" ht="15" hidden="false" customHeight="false" outlineLevel="0" collapsed="false">
      <c r="A84" s="2" t="s">
        <v>566</v>
      </c>
      <c r="B84" s="3" t="s">
        <v>567</v>
      </c>
      <c r="C84" s="2" t="s">
        <v>568</v>
      </c>
      <c r="D84" s="2" t="s">
        <v>106</v>
      </c>
      <c r="E84" s="2" t="s">
        <v>569</v>
      </c>
      <c r="F84" s="2" t="s">
        <v>570</v>
      </c>
      <c r="G84" s="2" t="s">
        <v>571</v>
      </c>
      <c r="H84" s="2" t="s">
        <v>110</v>
      </c>
      <c r="I84" s="2" t="s">
        <v>111</v>
      </c>
      <c r="J84" s="2" t="s">
        <v>21</v>
      </c>
      <c r="K84" s="2" t="s">
        <v>22</v>
      </c>
      <c r="L84" s="2" t="s">
        <v>572</v>
      </c>
      <c r="M84" s="2"/>
    </row>
    <row r="85" customFormat="false" ht="15" hidden="false" customHeight="false" outlineLevel="0" collapsed="false">
      <c r="A85" s="2" t="s">
        <v>354</v>
      </c>
      <c r="B85" s="3" t="s">
        <v>573</v>
      </c>
      <c r="C85" s="2"/>
      <c r="D85" s="2" t="s">
        <v>15</v>
      </c>
      <c r="E85" s="2" t="s">
        <v>574</v>
      </c>
      <c r="F85" s="2" t="s">
        <v>575</v>
      </c>
      <c r="G85" s="2" t="s">
        <v>576</v>
      </c>
      <c r="H85" s="2" t="s">
        <v>47</v>
      </c>
      <c r="I85" s="2" t="s">
        <v>48</v>
      </c>
      <c r="J85" s="2" t="s">
        <v>71</v>
      </c>
      <c r="K85" s="2" t="s">
        <v>22</v>
      </c>
      <c r="L85" s="2" t="s">
        <v>577</v>
      </c>
      <c r="M85" s="2"/>
    </row>
    <row r="86" customFormat="false" ht="15" hidden="false" customHeight="false" outlineLevel="0" collapsed="false">
      <c r="A86" s="2" t="s">
        <v>578</v>
      </c>
      <c r="B86" s="3" t="s">
        <v>579</v>
      </c>
      <c r="C86" s="2"/>
      <c r="D86" s="2" t="s">
        <v>223</v>
      </c>
      <c r="E86" s="2" t="s">
        <v>16</v>
      </c>
      <c r="F86" s="2" t="s">
        <v>580</v>
      </c>
      <c r="G86" s="2" t="s">
        <v>581</v>
      </c>
      <c r="H86" s="2" t="s">
        <v>28</v>
      </c>
      <c r="I86" s="2" t="s">
        <v>29</v>
      </c>
      <c r="J86" s="2" t="s">
        <v>21</v>
      </c>
      <c r="K86" s="2" t="s">
        <v>22</v>
      </c>
      <c r="L86" s="2" t="s">
        <v>289</v>
      </c>
      <c r="M86" s="2" t="s">
        <v>582</v>
      </c>
    </row>
    <row r="87" customFormat="false" ht="23.85" hidden="false" customHeight="false" outlineLevel="0" collapsed="false">
      <c r="A87" s="2" t="s">
        <v>583</v>
      </c>
      <c r="B87" s="3" t="s">
        <v>584</v>
      </c>
      <c r="C87" s="2"/>
      <c r="D87" s="2" t="s">
        <v>52</v>
      </c>
      <c r="E87" s="2" t="s">
        <v>53</v>
      </c>
      <c r="F87" s="2" t="s">
        <v>585</v>
      </c>
      <c r="G87" s="2" t="s">
        <v>586</v>
      </c>
      <c r="H87" s="2" t="s">
        <v>452</v>
      </c>
      <c r="I87" s="2" t="s">
        <v>48</v>
      </c>
      <c r="J87" s="2" t="s">
        <v>21</v>
      </c>
      <c r="K87" s="2" t="s">
        <v>72</v>
      </c>
      <c r="L87" s="2" t="s">
        <v>587</v>
      </c>
      <c r="M87" s="2" t="s">
        <v>588</v>
      </c>
    </row>
    <row r="88" customFormat="false" ht="23.85" hidden="false" customHeight="false" outlineLevel="0" collapsed="false">
      <c r="A88" s="2" t="s">
        <v>589</v>
      </c>
      <c r="B88" s="3" t="s">
        <v>590</v>
      </c>
      <c r="C88" s="2"/>
      <c r="D88" s="2" t="s">
        <v>15</v>
      </c>
      <c r="E88" s="2" t="s">
        <v>591</v>
      </c>
      <c r="F88" s="2" t="s">
        <v>592</v>
      </c>
      <c r="G88" s="2" t="s">
        <v>593</v>
      </c>
      <c r="H88" s="2"/>
      <c r="I88" s="2" t="s">
        <v>85</v>
      </c>
      <c r="J88" s="2" t="s">
        <v>71</v>
      </c>
      <c r="K88" s="2" t="s">
        <v>22</v>
      </c>
      <c r="L88" s="2" t="s">
        <v>594</v>
      </c>
      <c r="M88" s="2" t="s">
        <v>595</v>
      </c>
    </row>
    <row r="89" customFormat="false" ht="15" hidden="false" customHeight="false" outlineLevel="0" collapsed="false">
      <c r="A89" s="2" t="s">
        <v>596</v>
      </c>
      <c r="B89" s="3" t="s">
        <v>597</v>
      </c>
      <c r="C89" s="2"/>
      <c r="D89" s="2" t="s">
        <v>15</v>
      </c>
      <c r="E89" s="2" t="s">
        <v>99</v>
      </c>
      <c r="F89" s="2" t="s">
        <v>598</v>
      </c>
      <c r="G89" s="2" t="s">
        <v>599</v>
      </c>
      <c r="H89" s="2" t="s">
        <v>372</v>
      </c>
      <c r="I89" s="2" t="s">
        <v>138</v>
      </c>
      <c r="J89" s="2" t="s">
        <v>71</v>
      </c>
      <c r="K89" s="2" t="s">
        <v>72</v>
      </c>
      <c r="L89" s="2" t="s">
        <v>600</v>
      </c>
      <c r="M89" s="2"/>
    </row>
    <row r="90" customFormat="false" ht="23.85" hidden="false" customHeight="false" outlineLevel="0" collapsed="false">
      <c r="A90" s="2" t="s">
        <v>601</v>
      </c>
      <c r="B90" s="3" t="s">
        <v>602</v>
      </c>
      <c r="C90" s="2"/>
      <c r="D90" s="2" t="s">
        <v>231</v>
      </c>
      <c r="E90" s="2" t="s">
        <v>603</v>
      </c>
      <c r="F90" s="2" t="s">
        <v>604</v>
      </c>
      <c r="G90" s="2" t="s">
        <v>605</v>
      </c>
      <c r="H90" s="2"/>
      <c r="I90" s="2" t="s">
        <v>256</v>
      </c>
      <c r="J90" s="2" t="s">
        <v>71</v>
      </c>
      <c r="K90" s="2" t="s">
        <v>22</v>
      </c>
      <c r="L90" s="2" t="s">
        <v>606</v>
      </c>
      <c r="M90" s="2" t="s">
        <v>607</v>
      </c>
    </row>
    <row r="91" customFormat="false" ht="23.85" hidden="false" customHeight="false" outlineLevel="0" collapsed="false">
      <c r="A91" s="2" t="s">
        <v>608</v>
      </c>
      <c r="B91" s="3" t="s">
        <v>609</v>
      </c>
      <c r="C91" s="2"/>
      <c r="D91" s="2" t="s">
        <v>34</v>
      </c>
      <c r="E91" s="2" t="s">
        <v>53</v>
      </c>
      <c r="F91" s="2" t="s">
        <v>610</v>
      </c>
      <c r="G91" s="2" t="s">
        <v>611</v>
      </c>
      <c r="H91" s="2" t="s">
        <v>288</v>
      </c>
      <c r="I91" s="2" t="s">
        <v>78</v>
      </c>
      <c r="J91" s="2" t="s">
        <v>71</v>
      </c>
      <c r="K91" s="2" t="s">
        <v>72</v>
      </c>
      <c r="L91" s="2" t="s">
        <v>612</v>
      </c>
      <c r="M91" s="2"/>
    </row>
    <row r="92" customFormat="false" ht="23.85" hidden="false" customHeight="false" outlineLevel="0" collapsed="false">
      <c r="A92" s="2" t="s">
        <v>613</v>
      </c>
      <c r="B92" s="3" t="s">
        <v>614</v>
      </c>
      <c r="C92" s="2" t="s">
        <v>615</v>
      </c>
      <c r="D92" s="2" t="s">
        <v>82</v>
      </c>
      <c r="E92" s="2" t="s">
        <v>266</v>
      </c>
      <c r="F92" s="2" t="s">
        <v>616</v>
      </c>
      <c r="G92" s="2" t="s">
        <v>617</v>
      </c>
      <c r="H92" s="2" t="s">
        <v>47</v>
      </c>
      <c r="I92" s="2" t="s">
        <v>48</v>
      </c>
      <c r="J92" s="2" t="s">
        <v>71</v>
      </c>
      <c r="K92" s="2" t="s">
        <v>22</v>
      </c>
      <c r="L92" s="2" t="s">
        <v>618</v>
      </c>
      <c r="M92" s="2"/>
    </row>
    <row r="93" customFormat="false" ht="23.85" hidden="false" customHeight="false" outlineLevel="0" collapsed="false">
      <c r="A93" s="2" t="s">
        <v>619</v>
      </c>
      <c r="B93" s="3" t="s">
        <v>620</v>
      </c>
      <c r="C93" s="2"/>
      <c r="D93" s="2" t="s">
        <v>179</v>
      </c>
      <c r="E93" s="2" t="s">
        <v>621</v>
      </c>
      <c r="F93" s="2" t="s">
        <v>622</v>
      </c>
      <c r="G93" s="2" t="s">
        <v>623</v>
      </c>
      <c r="H93" s="2" t="s">
        <v>624</v>
      </c>
      <c r="I93" s="2" t="s">
        <v>508</v>
      </c>
      <c r="J93" s="2" t="s">
        <v>86</v>
      </c>
      <c r="K93" s="2" t="s">
        <v>87</v>
      </c>
      <c r="L93" s="2" t="s">
        <v>625</v>
      </c>
      <c r="M93" s="2"/>
    </row>
    <row r="94" customFormat="false" ht="15" hidden="false" customHeight="false" outlineLevel="0" collapsed="false">
      <c r="A94" s="2" t="s">
        <v>626</v>
      </c>
      <c r="B94" s="3" t="s">
        <v>627</v>
      </c>
      <c r="C94" s="2"/>
      <c r="D94" s="2" t="s">
        <v>15</v>
      </c>
      <c r="E94" s="2" t="s">
        <v>116</v>
      </c>
      <c r="F94" s="2" t="s">
        <v>628</v>
      </c>
      <c r="G94" s="2" t="s">
        <v>629</v>
      </c>
      <c r="H94" s="2" t="s">
        <v>47</v>
      </c>
      <c r="I94" s="2" t="s">
        <v>138</v>
      </c>
      <c r="J94" s="2" t="s">
        <v>71</v>
      </c>
      <c r="K94" s="2" t="s">
        <v>72</v>
      </c>
      <c r="L94" s="2" t="s">
        <v>630</v>
      </c>
      <c r="M94" s="2"/>
    </row>
    <row r="95" customFormat="false" ht="15" hidden="false" customHeight="false" outlineLevel="0" collapsed="false">
      <c r="A95" s="2" t="s">
        <v>631</v>
      </c>
      <c r="B95" s="3" t="s">
        <v>632</v>
      </c>
      <c r="C95" s="2"/>
      <c r="D95" s="2" t="s">
        <v>59</v>
      </c>
      <c r="E95" s="2" t="s">
        <v>35</v>
      </c>
      <c r="F95" s="2" t="s">
        <v>633</v>
      </c>
      <c r="G95" s="2" t="s">
        <v>634</v>
      </c>
      <c r="H95" s="2" t="s">
        <v>543</v>
      </c>
      <c r="I95" s="2" t="s">
        <v>85</v>
      </c>
      <c r="J95" s="2" t="s">
        <v>71</v>
      </c>
      <c r="K95" s="2" t="s">
        <v>22</v>
      </c>
      <c r="L95" s="2" t="s">
        <v>635</v>
      </c>
      <c r="M95" s="2"/>
    </row>
    <row r="96" customFormat="false" ht="23.85" hidden="false" customHeight="false" outlineLevel="0" collapsed="false">
      <c r="A96" s="2" t="s">
        <v>636</v>
      </c>
      <c r="B96" s="3" t="s">
        <v>637</v>
      </c>
      <c r="C96" s="2"/>
      <c r="D96" s="2" t="s">
        <v>15</v>
      </c>
      <c r="E96" s="2" t="s">
        <v>591</v>
      </c>
      <c r="F96" s="2" t="s">
        <v>638</v>
      </c>
      <c r="G96" s="2" t="s">
        <v>639</v>
      </c>
      <c r="H96" s="2" t="s">
        <v>47</v>
      </c>
      <c r="I96" s="2" t="s">
        <v>63</v>
      </c>
      <c r="J96" s="2" t="s">
        <v>71</v>
      </c>
      <c r="K96" s="2" t="s">
        <v>22</v>
      </c>
      <c r="L96" s="2" t="s">
        <v>640</v>
      </c>
      <c r="M96" s="2"/>
    </row>
    <row r="97" customFormat="false" ht="15" hidden="false" customHeight="false" outlineLevel="0" collapsed="false">
      <c r="A97" s="2" t="s">
        <v>641</v>
      </c>
      <c r="B97" s="3" t="s">
        <v>642</v>
      </c>
      <c r="C97" s="2"/>
      <c r="D97" s="2" t="s">
        <v>43</v>
      </c>
      <c r="E97" s="2" t="s">
        <v>53</v>
      </c>
      <c r="F97" s="2" t="s">
        <v>643</v>
      </c>
      <c r="G97" s="2" t="s">
        <v>644</v>
      </c>
      <c r="H97" s="2" t="s">
        <v>226</v>
      </c>
      <c r="I97" s="2" t="s">
        <v>111</v>
      </c>
      <c r="J97" s="2" t="s">
        <v>71</v>
      </c>
      <c r="K97" s="2" t="s">
        <v>72</v>
      </c>
      <c r="L97" s="2" t="s">
        <v>645</v>
      </c>
      <c r="M97" s="2"/>
    </row>
    <row r="98" customFormat="false" ht="15" hidden="false" customHeight="false" outlineLevel="0" collapsed="false">
      <c r="A98" s="2" t="s">
        <v>646</v>
      </c>
      <c r="B98" s="3" t="s">
        <v>647</v>
      </c>
      <c r="C98" s="2" t="s">
        <v>648</v>
      </c>
      <c r="D98" s="2" t="s">
        <v>223</v>
      </c>
      <c r="E98" s="2" t="s">
        <v>53</v>
      </c>
      <c r="F98" s="2" t="s">
        <v>649</v>
      </c>
      <c r="G98" s="2" t="s">
        <v>650</v>
      </c>
      <c r="H98" s="2" t="s">
        <v>28</v>
      </c>
      <c r="I98" s="2" t="s">
        <v>508</v>
      </c>
      <c r="J98" s="2" t="s">
        <v>71</v>
      </c>
      <c r="K98" s="2" t="s">
        <v>72</v>
      </c>
      <c r="L98" s="2" t="s">
        <v>651</v>
      </c>
      <c r="M98" s="2" t="s">
        <v>652</v>
      </c>
    </row>
    <row r="99" customFormat="false" ht="23.85" hidden="false" customHeight="false" outlineLevel="0" collapsed="false">
      <c r="A99" s="2" t="s">
        <v>653</v>
      </c>
      <c r="B99" s="3" t="s">
        <v>654</v>
      </c>
      <c r="C99" s="2" t="s">
        <v>655</v>
      </c>
      <c r="D99" s="2" t="s">
        <v>223</v>
      </c>
      <c r="E99" s="2" t="s">
        <v>53</v>
      </c>
      <c r="F99" s="2" t="s">
        <v>656</v>
      </c>
      <c r="G99" s="2" t="s">
        <v>657</v>
      </c>
      <c r="H99" s="2" t="s">
        <v>28</v>
      </c>
      <c r="I99" s="2" t="s">
        <v>182</v>
      </c>
      <c r="J99" s="2" t="s">
        <v>86</v>
      </c>
      <c r="K99" s="2" t="s">
        <v>87</v>
      </c>
      <c r="L99" s="2" t="s">
        <v>658</v>
      </c>
      <c r="M99" s="2"/>
    </row>
    <row r="100" customFormat="false" ht="23.85" hidden="false" customHeight="false" outlineLevel="0" collapsed="false">
      <c r="A100" s="2" t="s">
        <v>659</v>
      </c>
      <c r="B100" s="3" t="s">
        <v>660</v>
      </c>
      <c r="C100" s="2" t="s">
        <v>661</v>
      </c>
      <c r="D100" s="2" t="s">
        <v>231</v>
      </c>
      <c r="E100" s="2" t="s">
        <v>53</v>
      </c>
      <c r="F100" s="2" t="s">
        <v>662</v>
      </c>
      <c r="G100" s="2" t="s">
        <v>663</v>
      </c>
      <c r="H100" s="2"/>
      <c r="I100" s="2" t="s">
        <v>78</v>
      </c>
      <c r="J100" s="2" t="s">
        <v>71</v>
      </c>
      <c r="K100" s="2" t="s">
        <v>72</v>
      </c>
      <c r="L100" s="2" t="s">
        <v>664</v>
      </c>
      <c r="M100" s="2"/>
    </row>
    <row r="101" customFormat="false" ht="23.85" hidden="false" customHeight="false" outlineLevel="0" collapsed="false">
      <c r="A101" s="2" t="s">
        <v>665</v>
      </c>
      <c r="B101" s="3" t="s">
        <v>666</v>
      </c>
      <c r="C101" s="2"/>
      <c r="D101" s="2" t="s">
        <v>59</v>
      </c>
      <c r="E101" s="2" t="s">
        <v>99</v>
      </c>
      <c r="F101" s="2" t="s">
        <v>667</v>
      </c>
      <c r="G101" s="2" t="s">
        <v>668</v>
      </c>
      <c r="H101" s="2" t="s">
        <v>543</v>
      </c>
      <c r="I101" s="2" t="s">
        <v>138</v>
      </c>
      <c r="J101" s="2" t="s">
        <v>71</v>
      </c>
      <c r="K101" s="2" t="s">
        <v>22</v>
      </c>
      <c r="L101" s="2" t="s">
        <v>669</v>
      </c>
      <c r="M101" s="2"/>
    </row>
    <row r="102" customFormat="false" ht="23.85" hidden="false" customHeight="false" outlineLevel="0" collapsed="false">
      <c r="A102" s="2" t="s">
        <v>670</v>
      </c>
      <c r="B102" s="3" t="s">
        <v>671</v>
      </c>
      <c r="C102" s="2" t="s">
        <v>672</v>
      </c>
      <c r="D102" s="2" t="s">
        <v>82</v>
      </c>
      <c r="E102" s="2" t="s">
        <v>266</v>
      </c>
      <c r="F102" s="2" t="s">
        <v>673</v>
      </c>
      <c r="G102" s="2" t="s">
        <v>674</v>
      </c>
      <c r="H102" s="2" t="s">
        <v>675</v>
      </c>
      <c r="I102" s="2" t="s">
        <v>48</v>
      </c>
      <c r="J102" s="2" t="s">
        <v>71</v>
      </c>
      <c r="K102" s="2" t="s">
        <v>72</v>
      </c>
      <c r="L102" s="2" t="s">
        <v>676</v>
      </c>
      <c r="M102" s="2"/>
    </row>
    <row r="103" customFormat="false" ht="23.85" hidden="false" customHeight="false" outlineLevel="0" collapsed="false">
      <c r="A103" s="2" t="s">
        <v>677</v>
      </c>
      <c r="B103" s="3" t="s">
        <v>678</v>
      </c>
      <c r="C103" s="2"/>
      <c r="D103" s="2" t="s">
        <v>82</v>
      </c>
      <c r="E103" s="2" t="s">
        <v>535</v>
      </c>
      <c r="F103" s="2" t="s">
        <v>679</v>
      </c>
      <c r="G103" s="2" t="s">
        <v>680</v>
      </c>
      <c r="H103" s="2" t="s">
        <v>47</v>
      </c>
      <c r="I103" s="2" t="s">
        <v>63</v>
      </c>
      <c r="J103" s="2" t="s">
        <v>21</v>
      </c>
      <c r="K103" s="2" t="s">
        <v>22</v>
      </c>
      <c r="L103" s="2" t="s">
        <v>681</v>
      </c>
      <c r="M103" s="2"/>
    </row>
    <row r="104" customFormat="false" ht="15" hidden="false" customHeight="false" outlineLevel="0" collapsed="false">
      <c r="A104" s="2" t="s">
        <v>682</v>
      </c>
      <c r="B104" s="3" t="s">
        <v>683</v>
      </c>
      <c r="C104" s="2"/>
      <c r="D104" s="2" t="s">
        <v>82</v>
      </c>
      <c r="E104" s="2" t="s">
        <v>684</v>
      </c>
      <c r="F104" s="2" t="s">
        <v>685</v>
      </c>
      <c r="G104" s="2" t="s">
        <v>686</v>
      </c>
      <c r="H104" s="2" t="s">
        <v>47</v>
      </c>
      <c r="I104" s="2" t="s">
        <v>85</v>
      </c>
      <c r="J104" s="2" t="s">
        <v>86</v>
      </c>
      <c r="K104" s="2" t="s">
        <v>87</v>
      </c>
      <c r="L104" s="2" t="s">
        <v>687</v>
      </c>
      <c r="M104" s="2"/>
    </row>
    <row r="105" customFormat="false" ht="15" hidden="false" customHeight="false" outlineLevel="0" collapsed="false">
      <c r="A105" s="2" t="s">
        <v>688</v>
      </c>
      <c r="B105" s="3" t="s">
        <v>689</v>
      </c>
      <c r="C105" s="2" t="s">
        <v>690</v>
      </c>
      <c r="D105" s="2" t="s">
        <v>82</v>
      </c>
      <c r="E105" s="2" t="s">
        <v>691</v>
      </c>
      <c r="F105" s="2" t="s">
        <v>692</v>
      </c>
      <c r="G105" s="2" t="s">
        <v>693</v>
      </c>
      <c r="H105" s="2" t="s">
        <v>675</v>
      </c>
      <c r="I105" s="2" t="s">
        <v>138</v>
      </c>
      <c r="J105" s="2" t="s">
        <v>86</v>
      </c>
      <c r="K105" s="2" t="s">
        <v>87</v>
      </c>
      <c r="L105" s="2" t="s">
        <v>694</v>
      </c>
      <c r="M105" s="2"/>
    </row>
    <row r="106" customFormat="false" ht="15" hidden="false" customHeight="false" outlineLevel="0" collapsed="false">
      <c r="A106" s="2" t="s">
        <v>695</v>
      </c>
      <c r="B106" s="3" t="s">
        <v>696</v>
      </c>
      <c r="C106" s="2"/>
      <c r="D106" s="2" t="s">
        <v>52</v>
      </c>
      <c r="E106" s="2" t="s">
        <v>53</v>
      </c>
      <c r="F106" s="2" t="s">
        <v>697</v>
      </c>
      <c r="G106" s="2" t="s">
        <v>698</v>
      </c>
      <c r="H106" s="2" t="s">
        <v>47</v>
      </c>
      <c r="I106" s="2" t="s">
        <v>63</v>
      </c>
      <c r="J106" s="2" t="s">
        <v>71</v>
      </c>
      <c r="K106" s="2" t="s">
        <v>22</v>
      </c>
      <c r="L106" s="2" t="s">
        <v>699</v>
      </c>
      <c r="M106" s="2"/>
    </row>
    <row r="107" customFormat="false" ht="15" hidden="false" customHeight="false" outlineLevel="0" collapsed="false">
      <c r="A107" s="2" t="s">
        <v>700</v>
      </c>
      <c r="B107" s="3" t="s">
        <v>701</v>
      </c>
      <c r="C107" s="2" t="s">
        <v>702</v>
      </c>
      <c r="D107" s="2" t="s">
        <v>231</v>
      </c>
      <c r="E107" s="2" t="s">
        <v>53</v>
      </c>
      <c r="F107" s="2" t="s">
        <v>703</v>
      </c>
      <c r="G107" s="2" t="s">
        <v>704</v>
      </c>
      <c r="H107" s="2"/>
      <c r="I107" s="2" t="s">
        <v>48</v>
      </c>
      <c r="J107" s="2" t="s">
        <v>86</v>
      </c>
      <c r="K107" s="2" t="s">
        <v>72</v>
      </c>
      <c r="L107" s="2" t="s">
        <v>705</v>
      </c>
      <c r="M107" s="2"/>
    </row>
    <row r="108" customFormat="false" ht="23.85" hidden="false" customHeight="false" outlineLevel="0" collapsed="false">
      <c r="A108" s="2" t="s">
        <v>706</v>
      </c>
      <c r="B108" s="3" t="s">
        <v>707</v>
      </c>
      <c r="C108" s="2" t="s">
        <v>708</v>
      </c>
      <c r="D108" s="2" t="s">
        <v>43</v>
      </c>
      <c r="E108" s="2" t="s">
        <v>53</v>
      </c>
      <c r="F108" s="2" t="s">
        <v>709</v>
      </c>
      <c r="G108" s="2" t="s">
        <v>710</v>
      </c>
      <c r="H108" s="2" t="s">
        <v>711</v>
      </c>
      <c r="I108" s="2" t="s">
        <v>78</v>
      </c>
      <c r="J108" s="2" t="s">
        <v>71</v>
      </c>
      <c r="K108" s="2" t="s">
        <v>72</v>
      </c>
      <c r="L108" s="2" t="s">
        <v>712</v>
      </c>
      <c r="M108" s="2"/>
    </row>
    <row r="109" customFormat="false" ht="23.85" hidden="false" customHeight="false" outlineLevel="0" collapsed="false">
      <c r="A109" s="2" t="s">
        <v>713</v>
      </c>
      <c r="B109" s="3" t="s">
        <v>714</v>
      </c>
      <c r="C109" s="2" t="s">
        <v>715</v>
      </c>
      <c r="D109" s="2" t="s">
        <v>106</v>
      </c>
      <c r="E109" s="2" t="s">
        <v>53</v>
      </c>
      <c r="F109" s="2" t="s">
        <v>716</v>
      </c>
      <c r="G109" s="2" t="s">
        <v>717</v>
      </c>
      <c r="H109" s="2" t="s">
        <v>110</v>
      </c>
      <c r="I109" s="2" t="s">
        <v>151</v>
      </c>
      <c r="J109" s="2" t="s">
        <v>21</v>
      </c>
      <c r="K109" s="2" t="s">
        <v>22</v>
      </c>
      <c r="L109" s="2" t="s">
        <v>718</v>
      </c>
      <c r="M109" s="2"/>
    </row>
    <row r="110" customFormat="false" ht="23.85" hidden="false" customHeight="false" outlineLevel="0" collapsed="false">
      <c r="A110" s="2" t="s">
        <v>719</v>
      </c>
      <c r="B110" s="3" t="s">
        <v>720</v>
      </c>
      <c r="C110" s="2" t="s">
        <v>721</v>
      </c>
      <c r="D110" s="2" t="s">
        <v>82</v>
      </c>
      <c r="E110" s="2" t="s">
        <v>591</v>
      </c>
      <c r="F110" s="2" t="s">
        <v>722</v>
      </c>
      <c r="G110" s="2" t="s">
        <v>723</v>
      </c>
      <c r="H110" s="2" t="s">
        <v>47</v>
      </c>
      <c r="I110" s="2" t="s">
        <v>48</v>
      </c>
      <c r="J110" s="2" t="s">
        <v>71</v>
      </c>
      <c r="K110" s="2" t="s">
        <v>72</v>
      </c>
      <c r="L110" s="2" t="s">
        <v>724</v>
      </c>
      <c r="M110" s="2"/>
    </row>
    <row r="111" customFormat="false" ht="23.85" hidden="false" customHeight="false" outlineLevel="0" collapsed="false">
      <c r="A111" s="2" t="s">
        <v>725</v>
      </c>
      <c r="B111" s="3" t="s">
        <v>726</v>
      </c>
      <c r="C111" s="2" t="s">
        <v>727</v>
      </c>
      <c r="D111" s="2" t="s">
        <v>82</v>
      </c>
      <c r="E111" s="2" t="s">
        <v>266</v>
      </c>
      <c r="F111" s="2" t="s">
        <v>728</v>
      </c>
      <c r="G111" s="2" t="s">
        <v>729</v>
      </c>
      <c r="H111" s="2" t="s">
        <v>47</v>
      </c>
      <c r="I111" s="2" t="s">
        <v>48</v>
      </c>
      <c r="J111" s="2" t="s">
        <v>71</v>
      </c>
      <c r="K111" s="2" t="s">
        <v>22</v>
      </c>
      <c r="L111" s="2" t="s">
        <v>730</v>
      </c>
      <c r="M111" s="2"/>
    </row>
    <row r="112" customFormat="false" ht="23.85" hidden="false" customHeight="false" outlineLevel="0" collapsed="false">
      <c r="A112" s="2" t="s">
        <v>731</v>
      </c>
      <c r="B112" s="3" t="s">
        <v>732</v>
      </c>
      <c r="C112" s="2" t="s">
        <v>733</v>
      </c>
      <c r="D112" s="2" t="s">
        <v>231</v>
      </c>
      <c r="E112" s="2" t="s">
        <v>53</v>
      </c>
      <c r="F112" s="2" t="s">
        <v>734</v>
      </c>
      <c r="G112" s="2" t="s">
        <v>735</v>
      </c>
      <c r="H112" s="2" t="s">
        <v>306</v>
      </c>
      <c r="I112" s="2" t="s">
        <v>182</v>
      </c>
      <c r="J112" s="2" t="s">
        <v>86</v>
      </c>
      <c r="K112" s="2" t="s">
        <v>87</v>
      </c>
      <c r="L112" s="2" t="s">
        <v>736</v>
      </c>
      <c r="M112" s="2" t="s">
        <v>737</v>
      </c>
    </row>
    <row r="113" customFormat="false" ht="23.85" hidden="false" customHeight="false" outlineLevel="0" collapsed="false">
      <c r="A113" s="2" t="s">
        <v>738</v>
      </c>
      <c r="B113" s="3" t="s">
        <v>739</v>
      </c>
      <c r="C113" s="2" t="s">
        <v>740</v>
      </c>
      <c r="D113" s="2" t="s">
        <v>231</v>
      </c>
      <c r="E113" s="2" t="s">
        <v>741</v>
      </c>
      <c r="F113" s="2" t="s">
        <v>742</v>
      </c>
      <c r="G113" s="2" t="s">
        <v>743</v>
      </c>
      <c r="H113" s="2" t="s">
        <v>306</v>
      </c>
      <c r="I113" s="2" t="s">
        <v>29</v>
      </c>
      <c r="J113" s="2" t="s">
        <v>71</v>
      </c>
      <c r="K113" s="2" t="s">
        <v>72</v>
      </c>
      <c r="L113" s="2" t="s">
        <v>744</v>
      </c>
      <c r="M113" s="2"/>
    </row>
    <row r="114" customFormat="false" ht="15" hidden="false" customHeight="false" outlineLevel="0" collapsed="false">
      <c r="A114" s="2" t="s">
        <v>745</v>
      </c>
      <c r="B114" s="3" t="s">
        <v>746</v>
      </c>
      <c r="C114" s="2" t="s">
        <v>747</v>
      </c>
      <c r="D114" s="2" t="s">
        <v>15</v>
      </c>
      <c r="E114" s="2" t="s">
        <v>266</v>
      </c>
      <c r="F114" s="2" t="s">
        <v>748</v>
      </c>
      <c r="G114" s="2" t="s">
        <v>749</v>
      </c>
      <c r="H114" s="2" t="s">
        <v>47</v>
      </c>
      <c r="I114" s="2" t="s">
        <v>48</v>
      </c>
      <c r="J114" s="2" t="s">
        <v>71</v>
      </c>
      <c r="K114" s="2" t="s">
        <v>72</v>
      </c>
      <c r="L114" s="2" t="s">
        <v>750</v>
      </c>
      <c r="M114" s="2"/>
    </row>
    <row r="115" customFormat="false" ht="15" hidden="false" customHeight="false" outlineLevel="0" collapsed="false">
      <c r="A115" s="2" t="s">
        <v>751</v>
      </c>
      <c r="B115" s="3" t="s">
        <v>752</v>
      </c>
      <c r="C115" s="2" t="s">
        <v>753</v>
      </c>
      <c r="D115" s="2" t="s">
        <v>106</v>
      </c>
      <c r="E115" s="2" t="s">
        <v>53</v>
      </c>
      <c r="F115" s="2" t="s">
        <v>754</v>
      </c>
      <c r="G115" s="2" t="s">
        <v>755</v>
      </c>
      <c r="H115" s="2" t="s">
        <v>110</v>
      </c>
      <c r="I115" s="2" t="s">
        <v>111</v>
      </c>
      <c r="J115" s="2" t="s">
        <v>21</v>
      </c>
      <c r="K115" s="2" t="s">
        <v>22</v>
      </c>
      <c r="L115" s="2" t="s">
        <v>756</v>
      </c>
      <c r="M115" s="2"/>
    </row>
    <row r="116" customFormat="false" ht="15" hidden="false" customHeight="false" outlineLevel="0" collapsed="false">
      <c r="A116" s="2" t="s">
        <v>757</v>
      </c>
      <c r="B116" s="3" t="s">
        <v>758</v>
      </c>
      <c r="C116" s="2" t="s">
        <v>759</v>
      </c>
      <c r="D116" s="2" t="s">
        <v>238</v>
      </c>
      <c r="E116" s="2" t="s">
        <v>99</v>
      </c>
      <c r="F116" s="2" t="s">
        <v>760</v>
      </c>
      <c r="G116" s="2" t="s">
        <v>761</v>
      </c>
      <c r="H116" s="2"/>
      <c r="I116" s="2" t="s">
        <v>111</v>
      </c>
      <c r="J116" s="2" t="s">
        <v>21</v>
      </c>
      <c r="K116" s="2" t="s">
        <v>22</v>
      </c>
      <c r="L116" s="2" t="s">
        <v>762</v>
      </c>
      <c r="M116" s="2"/>
    </row>
    <row r="117" customFormat="false" ht="23.85" hidden="false" customHeight="false" outlineLevel="0" collapsed="false">
      <c r="A117" s="2" t="s">
        <v>763</v>
      </c>
      <c r="B117" s="3" t="s">
        <v>764</v>
      </c>
      <c r="C117" s="2" t="s">
        <v>765</v>
      </c>
      <c r="D117" s="2" t="s">
        <v>15</v>
      </c>
      <c r="E117" s="2" t="s">
        <v>266</v>
      </c>
      <c r="F117" s="2" t="s">
        <v>766</v>
      </c>
      <c r="G117" s="2" t="s">
        <v>767</v>
      </c>
      <c r="H117" s="2" t="s">
        <v>47</v>
      </c>
      <c r="I117" s="2" t="s">
        <v>20</v>
      </c>
      <c r="J117" s="2" t="s">
        <v>71</v>
      </c>
      <c r="K117" s="2" t="s">
        <v>72</v>
      </c>
      <c r="L117" s="2" t="s">
        <v>768</v>
      </c>
      <c r="M117" s="2"/>
    </row>
    <row r="118" customFormat="false" ht="23.85" hidden="false" customHeight="false" outlineLevel="0" collapsed="false">
      <c r="A118" s="2" t="s">
        <v>769</v>
      </c>
      <c r="B118" s="3" t="s">
        <v>770</v>
      </c>
      <c r="C118" s="2" t="s">
        <v>771</v>
      </c>
      <c r="D118" s="2" t="s">
        <v>15</v>
      </c>
      <c r="E118" s="2" t="s">
        <v>208</v>
      </c>
      <c r="F118" s="2" t="s">
        <v>772</v>
      </c>
      <c r="G118" s="2" t="s">
        <v>773</v>
      </c>
      <c r="H118" s="2" t="s">
        <v>47</v>
      </c>
      <c r="I118" s="2" t="s">
        <v>182</v>
      </c>
      <c r="J118" s="2" t="s">
        <v>86</v>
      </c>
      <c r="K118" s="2" t="s">
        <v>87</v>
      </c>
      <c r="L118" s="2" t="s">
        <v>774</v>
      </c>
      <c r="M118" s="2"/>
    </row>
    <row r="119" customFormat="false" ht="23.85" hidden="false" customHeight="false" outlineLevel="0" collapsed="false">
      <c r="A119" s="2" t="s">
        <v>775</v>
      </c>
      <c r="B119" s="3" t="s">
        <v>776</v>
      </c>
      <c r="C119" s="2"/>
      <c r="D119" s="2" t="s">
        <v>15</v>
      </c>
      <c r="E119" s="2" t="s">
        <v>777</v>
      </c>
      <c r="F119" s="2" t="s">
        <v>778</v>
      </c>
      <c r="G119" s="2" t="s">
        <v>779</v>
      </c>
      <c r="H119" s="2"/>
      <c r="I119" s="2" t="s">
        <v>48</v>
      </c>
      <c r="J119" s="2" t="s">
        <v>21</v>
      </c>
      <c r="K119" s="2" t="s">
        <v>22</v>
      </c>
      <c r="L119" s="2" t="s">
        <v>780</v>
      </c>
      <c r="M119" s="2"/>
    </row>
    <row r="120" customFormat="false" ht="23.85" hidden="false" customHeight="false" outlineLevel="0" collapsed="false">
      <c r="A120" s="2" t="s">
        <v>781</v>
      </c>
      <c r="B120" s="3" t="s">
        <v>782</v>
      </c>
      <c r="C120" s="2"/>
      <c r="D120" s="2" t="s">
        <v>106</v>
      </c>
      <c r="E120" s="2" t="s">
        <v>53</v>
      </c>
      <c r="F120" s="2" t="s">
        <v>783</v>
      </c>
      <c r="G120" s="2" t="s">
        <v>784</v>
      </c>
      <c r="H120" s="2" t="s">
        <v>110</v>
      </c>
      <c r="I120" s="2" t="s">
        <v>111</v>
      </c>
      <c r="J120" s="2" t="s">
        <v>21</v>
      </c>
      <c r="K120" s="2" t="s">
        <v>22</v>
      </c>
      <c r="L120" s="2" t="s">
        <v>785</v>
      </c>
      <c r="M120" s="2"/>
    </row>
    <row r="121" customFormat="false" ht="23.85" hidden="false" customHeight="false" outlineLevel="0" collapsed="false">
      <c r="A121" s="2" t="s">
        <v>786</v>
      </c>
      <c r="B121" s="3" t="s">
        <v>787</v>
      </c>
      <c r="C121" s="2" t="s">
        <v>788</v>
      </c>
      <c r="D121" s="2" t="s">
        <v>238</v>
      </c>
      <c r="E121" s="2" t="s">
        <v>789</v>
      </c>
      <c r="F121" s="2" t="s">
        <v>790</v>
      </c>
      <c r="G121" s="2" t="s">
        <v>791</v>
      </c>
      <c r="H121" s="2"/>
      <c r="I121" s="2" t="s">
        <v>85</v>
      </c>
      <c r="J121" s="2" t="s">
        <v>71</v>
      </c>
      <c r="K121" s="2" t="s">
        <v>22</v>
      </c>
      <c r="L121" s="2" t="s">
        <v>792</v>
      </c>
      <c r="M121" s="2"/>
    </row>
    <row r="122" customFormat="false" ht="23.85" hidden="false" customHeight="false" outlineLevel="0" collapsed="false">
      <c r="A122" s="2" t="s">
        <v>793</v>
      </c>
      <c r="B122" s="3" t="s">
        <v>794</v>
      </c>
      <c r="C122" s="2" t="s">
        <v>795</v>
      </c>
      <c r="D122" s="2" t="s">
        <v>82</v>
      </c>
      <c r="E122" s="2" t="s">
        <v>796</v>
      </c>
      <c r="F122" s="2" t="s">
        <v>797</v>
      </c>
      <c r="G122" s="2" t="s">
        <v>798</v>
      </c>
      <c r="H122" s="2" t="s">
        <v>47</v>
      </c>
      <c r="I122" s="2" t="s">
        <v>799</v>
      </c>
      <c r="J122" s="2" t="s">
        <v>71</v>
      </c>
      <c r="K122" s="2" t="s">
        <v>22</v>
      </c>
      <c r="L122" s="2" t="s">
        <v>800</v>
      </c>
      <c r="M122" s="2"/>
    </row>
    <row r="123" customFormat="false" ht="23.85" hidden="false" customHeight="false" outlineLevel="0" collapsed="false">
      <c r="A123" s="2" t="s">
        <v>801</v>
      </c>
      <c r="B123" s="3" t="s">
        <v>802</v>
      </c>
      <c r="C123" s="2"/>
      <c r="D123" s="2" t="s">
        <v>223</v>
      </c>
      <c r="E123" s="2" t="s">
        <v>53</v>
      </c>
      <c r="F123" s="2" t="s">
        <v>803</v>
      </c>
      <c r="G123" s="2" t="s">
        <v>804</v>
      </c>
      <c r="H123" s="2" t="s">
        <v>805</v>
      </c>
      <c r="I123" s="2" t="s">
        <v>182</v>
      </c>
      <c r="J123" s="2" t="s">
        <v>86</v>
      </c>
      <c r="K123" s="2" t="s">
        <v>87</v>
      </c>
      <c r="L123" s="2" t="s">
        <v>806</v>
      </c>
      <c r="M123" s="2" t="s">
        <v>807</v>
      </c>
    </row>
    <row r="124" customFormat="false" ht="23.85" hidden="false" customHeight="false" outlineLevel="0" collapsed="false">
      <c r="A124" s="2" t="s">
        <v>808</v>
      </c>
      <c r="B124" s="3" t="s">
        <v>809</v>
      </c>
      <c r="C124" s="2"/>
      <c r="D124" s="2" t="s">
        <v>82</v>
      </c>
      <c r="E124" s="2" t="s">
        <v>53</v>
      </c>
      <c r="F124" s="2" t="s">
        <v>810</v>
      </c>
      <c r="G124" s="2" t="s">
        <v>811</v>
      </c>
      <c r="H124" s="2" t="s">
        <v>47</v>
      </c>
      <c r="I124" s="2" t="s">
        <v>508</v>
      </c>
      <c r="J124" s="2" t="s">
        <v>71</v>
      </c>
      <c r="K124" s="2" t="s">
        <v>72</v>
      </c>
      <c r="L124" s="2" t="s">
        <v>812</v>
      </c>
      <c r="M124" s="2" t="s">
        <v>813</v>
      </c>
    </row>
    <row r="125" customFormat="false" ht="15" hidden="false" customHeight="false" outlineLevel="0" collapsed="false">
      <c r="A125" s="2" t="s">
        <v>814</v>
      </c>
      <c r="B125" s="3" t="s">
        <v>815</v>
      </c>
      <c r="C125" s="2"/>
      <c r="D125" s="2" t="s">
        <v>15</v>
      </c>
      <c r="E125" s="2" t="s">
        <v>16</v>
      </c>
      <c r="F125" s="2" t="s">
        <v>816</v>
      </c>
      <c r="G125" s="2" t="s">
        <v>817</v>
      </c>
      <c r="H125" s="2" t="s">
        <v>47</v>
      </c>
      <c r="I125" s="2" t="s">
        <v>508</v>
      </c>
      <c r="J125" s="2" t="s">
        <v>21</v>
      </c>
      <c r="K125" s="2" t="s">
        <v>22</v>
      </c>
      <c r="L125" s="2" t="s">
        <v>818</v>
      </c>
      <c r="M125" s="2"/>
    </row>
    <row r="126" customFormat="false" ht="23.85" hidden="false" customHeight="false" outlineLevel="0" collapsed="false">
      <c r="A126" s="2" t="s">
        <v>819</v>
      </c>
      <c r="B126" s="3" t="s">
        <v>820</v>
      </c>
      <c r="C126" s="2"/>
      <c r="D126" s="2" t="s">
        <v>34</v>
      </c>
      <c r="E126" s="2" t="s">
        <v>53</v>
      </c>
      <c r="F126" s="2" t="s">
        <v>821</v>
      </c>
      <c r="G126" s="2" t="s">
        <v>822</v>
      </c>
      <c r="H126" s="2" t="s">
        <v>823</v>
      </c>
      <c r="I126" s="2" t="s">
        <v>48</v>
      </c>
      <c r="J126" s="2" t="s">
        <v>21</v>
      </c>
      <c r="K126" s="2" t="s">
        <v>72</v>
      </c>
      <c r="L126" s="2" t="s">
        <v>824</v>
      </c>
      <c r="M126" s="2"/>
    </row>
    <row r="127" customFormat="false" ht="23.85" hidden="false" customHeight="false" outlineLevel="0" collapsed="false">
      <c r="A127" s="2" t="s">
        <v>825</v>
      </c>
      <c r="B127" s="3" t="s">
        <v>826</v>
      </c>
      <c r="C127" s="2"/>
      <c r="D127" s="2" t="s">
        <v>106</v>
      </c>
      <c r="E127" s="2" t="s">
        <v>99</v>
      </c>
      <c r="F127" s="2" t="s">
        <v>827</v>
      </c>
      <c r="G127" s="2" t="s">
        <v>828</v>
      </c>
      <c r="H127" s="2" t="s">
        <v>110</v>
      </c>
      <c r="I127" s="2" t="s">
        <v>111</v>
      </c>
      <c r="J127" s="2" t="s">
        <v>21</v>
      </c>
      <c r="K127" s="2" t="s">
        <v>22</v>
      </c>
      <c r="L127" s="2" t="s">
        <v>829</v>
      </c>
      <c r="M127" s="2"/>
    </row>
    <row r="128" customFormat="false" ht="23.85" hidden="false" customHeight="false" outlineLevel="0" collapsed="false">
      <c r="A128" s="2" t="s">
        <v>830</v>
      </c>
      <c r="B128" s="3" t="s">
        <v>831</v>
      </c>
      <c r="C128" s="2" t="s">
        <v>832</v>
      </c>
      <c r="D128" s="2" t="s">
        <v>231</v>
      </c>
      <c r="E128" s="2" t="s">
        <v>53</v>
      </c>
      <c r="F128" s="2" t="s">
        <v>833</v>
      </c>
      <c r="G128" s="2" t="s">
        <v>834</v>
      </c>
      <c r="H128" s="2"/>
      <c r="I128" s="2" t="s">
        <v>20</v>
      </c>
      <c r="J128" s="2" t="s">
        <v>86</v>
      </c>
      <c r="K128" s="2" t="s">
        <v>72</v>
      </c>
      <c r="L128" s="2" t="s">
        <v>835</v>
      </c>
      <c r="M128" s="2"/>
    </row>
    <row r="129" customFormat="false" ht="23.85" hidden="false" customHeight="false" outlineLevel="0" collapsed="false">
      <c r="A129" s="2" t="s">
        <v>836</v>
      </c>
      <c r="B129" s="3" t="s">
        <v>837</v>
      </c>
      <c r="C129" s="2" t="s">
        <v>838</v>
      </c>
      <c r="D129" s="2" t="s">
        <v>179</v>
      </c>
      <c r="E129" s="2" t="s">
        <v>839</v>
      </c>
      <c r="F129" s="2" t="s">
        <v>840</v>
      </c>
      <c r="G129" s="2" t="s">
        <v>841</v>
      </c>
      <c r="H129" s="2"/>
      <c r="I129" s="2" t="s">
        <v>48</v>
      </c>
      <c r="J129" s="2" t="s">
        <v>71</v>
      </c>
      <c r="K129" s="2" t="s">
        <v>72</v>
      </c>
      <c r="L129" s="2" t="s">
        <v>842</v>
      </c>
      <c r="M129" s="2" t="s">
        <v>843</v>
      </c>
    </row>
    <row r="130" customFormat="false" ht="23.85" hidden="false" customHeight="false" outlineLevel="0" collapsed="false">
      <c r="A130" s="2" t="s">
        <v>844</v>
      </c>
      <c r="B130" s="3" t="s">
        <v>845</v>
      </c>
      <c r="C130" s="2" t="s">
        <v>846</v>
      </c>
      <c r="D130" s="2" t="s">
        <v>15</v>
      </c>
      <c r="E130" s="2" t="s">
        <v>60</v>
      </c>
      <c r="F130" s="2" t="s">
        <v>847</v>
      </c>
      <c r="G130" s="2" t="s">
        <v>848</v>
      </c>
      <c r="H130" s="2" t="s">
        <v>47</v>
      </c>
      <c r="I130" s="2" t="s">
        <v>48</v>
      </c>
      <c r="J130" s="2" t="s">
        <v>71</v>
      </c>
      <c r="K130" s="2" t="s">
        <v>72</v>
      </c>
      <c r="L130" s="2" t="s">
        <v>849</v>
      </c>
      <c r="M130" s="2"/>
    </row>
    <row r="131" customFormat="false" ht="15" hidden="false" customHeight="false" outlineLevel="0" collapsed="false">
      <c r="A131" s="2" t="s">
        <v>850</v>
      </c>
      <c r="B131" s="3" t="s">
        <v>851</v>
      </c>
      <c r="C131" s="2"/>
      <c r="D131" s="2" t="s">
        <v>106</v>
      </c>
      <c r="E131" s="2" t="s">
        <v>53</v>
      </c>
      <c r="F131" s="2" t="s">
        <v>852</v>
      </c>
      <c r="G131" s="2" t="s">
        <v>853</v>
      </c>
      <c r="H131" s="2" t="s">
        <v>110</v>
      </c>
      <c r="I131" s="2" t="s">
        <v>111</v>
      </c>
      <c r="J131" s="2" t="s">
        <v>21</v>
      </c>
      <c r="K131" s="2" t="s">
        <v>22</v>
      </c>
      <c r="L131" s="2" t="s">
        <v>854</v>
      </c>
      <c r="M131" s="2"/>
    </row>
    <row r="132" customFormat="false" ht="23.85" hidden="false" customHeight="false" outlineLevel="0" collapsed="false">
      <c r="A132" s="2" t="s">
        <v>855</v>
      </c>
      <c r="B132" s="3" t="s">
        <v>856</v>
      </c>
      <c r="C132" s="2" t="s">
        <v>857</v>
      </c>
      <c r="D132" s="2" t="s">
        <v>15</v>
      </c>
      <c r="E132" s="2" t="s">
        <v>16</v>
      </c>
      <c r="F132" s="2" t="s">
        <v>858</v>
      </c>
      <c r="G132" s="2" t="s">
        <v>859</v>
      </c>
      <c r="H132" s="2" t="s">
        <v>47</v>
      </c>
      <c r="I132" s="2" t="s">
        <v>508</v>
      </c>
      <c r="J132" s="2" t="s">
        <v>71</v>
      </c>
      <c r="K132" s="2" t="s">
        <v>72</v>
      </c>
      <c r="L132" s="2" t="s">
        <v>860</v>
      </c>
      <c r="M132" s="2"/>
    </row>
    <row r="133" customFormat="false" ht="23.85" hidden="false" customHeight="false" outlineLevel="0" collapsed="false">
      <c r="A133" s="2" t="s">
        <v>861</v>
      </c>
      <c r="B133" s="3" t="s">
        <v>862</v>
      </c>
      <c r="C133" s="2" t="s">
        <v>863</v>
      </c>
      <c r="D133" s="2" t="s">
        <v>15</v>
      </c>
      <c r="E133" s="2" t="s">
        <v>16</v>
      </c>
      <c r="F133" s="2" t="s">
        <v>864</v>
      </c>
      <c r="G133" s="2" t="s">
        <v>865</v>
      </c>
      <c r="H133" s="2" t="s">
        <v>866</v>
      </c>
      <c r="I133" s="2" t="s">
        <v>508</v>
      </c>
      <c r="J133" s="2" t="s">
        <v>86</v>
      </c>
      <c r="K133" s="2" t="s">
        <v>87</v>
      </c>
      <c r="L133" s="2" t="s">
        <v>867</v>
      </c>
      <c r="M133" s="2"/>
    </row>
    <row r="134" customFormat="false" ht="23.85" hidden="false" customHeight="false" outlineLevel="0" collapsed="false">
      <c r="A134" s="2" t="s">
        <v>868</v>
      </c>
      <c r="B134" s="3" t="s">
        <v>869</v>
      </c>
      <c r="C134" s="2"/>
      <c r="D134" s="2" t="s">
        <v>179</v>
      </c>
      <c r="E134" s="2" t="s">
        <v>684</v>
      </c>
      <c r="F134" s="2" t="s">
        <v>870</v>
      </c>
      <c r="G134" s="2" t="s">
        <v>871</v>
      </c>
      <c r="H134" s="2"/>
      <c r="I134" s="2" t="s">
        <v>48</v>
      </c>
      <c r="J134" s="2" t="s">
        <v>86</v>
      </c>
      <c r="K134" s="2" t="s">
        <v>72</v>
      </c>
      <c r="L134" s="2" t="s">
        <v>872</v>
      </c>
      <c r="M134" s="2"/>
    </row>
    <row r="135" customFormat="false" ht="23.85" hidden="false" customHeight="false" outlineLevel="0" collapsed="false">
      <c r="A135" s="2" t="s">
        <v>873</v>
      </c>
      <c r="B135" s="3" t="s">
        <v>874</v>
      </c>
      <c r="C135" s="2" t="s">
        <v>875</v>
      </c>
      <c r="D135" s="2" t="s">
        <v>179</v>
      </c>
      <c r="E135" s="2" t="s">
        <v>876</v>
      </c>
      <c r="F135" s="2" t="s">
        <v>877</v>
      </c>
      <c r="G135" s="2" t="s">
        <v>878</v>
      </c>
      <c r="H135" s="2" t="s">
        <v>879</v>
      </c>
      <c r="I135" s="2" t="s">
        <v>78</v>
      </c>
      <c r="J135" s="2" t="s">
        <v>71</v>
      </c>
      <c r="K135" s="2" t="s">
        <v>87</v>
      </c>
      <c r="L135" s="2" t="s">
        <v>880</v>
      </c>
      <c r="M135" s="2"/>
    </row>
    <row r="136" customFormat="false" ht="15" hidden="false" customHeight="false" outlineLevel="0" collapsed="false">
      <c r="A136" s="2" t="s">
        <v>881</v>
      </c>
      <c r="B136" s="3" t="s">
        <v>882</v>
      </c>
      <c r="C136" s="2" t="s">
        <v>883</v>
      </c>
      <c r="D136" s="2" t="s">
        <v>59</v>
      </c>
      <c r="E136" s="2" t="s">
        <v>884</v>
      </c>
      <c r="F136" s="2" t="s">
        <v>885</v>
      </c>
      <c r="G136" s="2" t="s">
        <v>886</v>
      </c>
      <c r="H136" s="2" t="s">
        <v>543</v>
      </c>
      <c r="I136" s="2" t="s">
        <v>63</v>
      </c>
      <c r="J136" s="2" t="s">
        <v>71</v>
      </c>
      <c r="K136" s="2" t="s">
        <v>22</v>
      </c>
      <c r="L136" s="2" t="s">
        <v>887</v>
      </c>
      <c r="M136" s="2" t="s">
        <v>888</v>
      </c>
    </row>
    <row r="137" customFormat="false" ht="23.85" hidden="false" customHeight="false" outlineLevel="0" collapsed="false">
      <c r="A137" s="2" t="s">
        <v>889</v>
      </c>
      <c r="B137" s="3" t="s">
        <v>890</v>
      </c>
      <c r="C137" s="2" t="s">
        <v>891</v>
      </c>
      <c r="D137" s="2" t="s">
        <v>106</v>
      </c>
      <c r="E137" s="2" t="s">
        <v>252</v>
      </c>
      <c r="F137" s="2" t="s">
        <v>892</v>
      </c>
      <c r="G137" s="2" t="s">
        <v>893</v>
      </c>
      <c r="H137" s="2" t="s">
        <v>110</v>
      </c>
      <c r="I137" s="2" t="s">
        <v>111</v>
      </c>
      <c r="J137" s="2" t="s">
        <v>21</v>
      </c>
      <c r="K137" s="2" t="s">
        <v>22</v>
      </c>
      <c r="L137" s="2" t="s">
        <v>894</v>
      </c>
      <c r="M137" s="2"/>
    </row>
    <row r="138" customFormat="false" ht="15" hidden="false" customHeight="false" outlineLevel="0" collapsed="false">
      <c r="A138" s="2" t="s">
        <v>895</v>
      </c>
      <c r="B138" s="3" t="s">
        <v>896</v>
      </c>
      <c r="C138" s="2" t="s">
        <v>897</v>
      </c>
      <c r="D138" s="2" t="s">
        <v>251</v>
      </c>
      <c r="E138" s="2" t="s">
        <v>569</v>
      </c>
      <c r="F138" s="2" t="s">
        <v>898</v>
      </c>
      <c r="G138" s="2" t="s">
        <v>899</v>
      </c>
      <c r="H138" s="2" t="s">
        <v>255</v>
      </c>
      <c r="I138" s="2" t="s">
        <v>48</v>
      </c>
      <c r="J138" s="2" t="s">
        <v>21</v>
      </c>
      <c r="K138" s="2" t="s">
        <v>72</v>
      </c>
      <c r="L138" s="2" t="s">
        <v>900</v>
      </c>
      <c r="M138" s="2"/>
    </row>
    <row r="139" customFormat="false" ht="23.85" hidden="false" customHeight="false" outlineLevel="0" collapsed="false">
      <c r="A139" s="2" t="s">
        <v>572</v>
      </c>
      <c r="B139" s="3" t="s">
        <v>901</v>
      </c>
      <c r="C139" s="2" t="s">
        <v>902</v>
      </c>
      <c r="D139" s="2" t="s">
        <v>106</v>
      </c>
      <c r="E139" s="2" t="s">
        <v>876</v>
      </c>
      <c r="F139" s="2" t="s">
        <v>903</v>
      </c>
      <c r="G139" s="2" t="s">
        <v>904</v>
      </c>
      <c r="H139" s="2" t="s">
        <v>905</v>
      </c>
      <c r="I139" s="2" t="s">
        <v>78</v>
      </c>
      <c r="J139" s="2" t="s">
        <v>21</v>
      </c>
      <c r="K139" s="2" t="s">
        <v>72</v>
      </c>
      <c r="L139" s="2" t="s">
        <v>906</v>
      </c>
      <c r="M139" s="2" t="s">
        <v>907</v>
      </c>
    </row>
    <row r="140" customFormat="false" ht="23.85" hidden="false" customHeight="false" outlineLevel="0" collapsed="false">
      <c r="A140" s="2" t="s">
        <v>908</v>
      </c>
      <c r="B140" s="3" t="s">
        <v>909</v>
      </c>
      <c r="C140" s="2"/>
      <c r="D140" s="2" t="s">
        <v>15</v>
      </c>
      <c r="E140" s="2" t="s">
        <v>99</v>
      </c>
      <c r="F140" s="2" t="s">
        <v>910</v>
      </c>
      <c r="G140" s="2" t="s">
        <v>911</v>
      </c>
      <c r="H140" s="2" t="s">
        <v>47</v>
      </c>
      <c r="I140" s="2" t="s">
        <v>94</v>
      </c>
      <c r="J140" s="2" t="s">
        <v>71</v>
      </c>
      <c r="K140" s="2" t="s">
        <v>22</v>
      </c>
      <c r="L140" s="2" t="s">
        <v>198</v>
      </c>
      <c r="M140" s="2"/>
    </row>
    <row r="141" customFormat="false" ht="23.85" hidden="false" customHeight="false" outlineLevel="0" collapsed="false">
      <c r="A141" s="2" t="s">
        <v>912</v>
      </c>
      <c r="B141" s="3" t="s">
        <v>913</v>
      </c>
      <c r="C141" s="2"/>
      <c r="D141" s="2" t="s">
        <v>52</v>
      </c>
      <c r="E141" s="2" t="s">
        <v>53</v>
      </c>
      <c r="F141" s="2" t="s">
        <v>914</v>
      </c>
      <c r="G141" s="2" t="s">
        <v>915</v>
      </c>
      <c r="H141" s="2"/>
      <c r="I141" s="2" t="s">
        <v>63</v>
      </c>
      <c r="J141" s="2" t="s">
        <v>71</v>
      </c>
      <c r="K141" s="2" t="s">
        <v>22</v>
      </c>
      <c r="L141" s="2" t="s">
        <v>699</v>
      </c>
      <c r="M141" s="2"/>
    </row>
    <row r="142" customFormat="false" ht="15" hidden="false" customHeight="false" outlineLevel="0" collapsed="false">
      <c r="A142" s="2" t="s">
        <v>515</v>
      </c>
      <c r="B142" s="3" t="s">
        <v>916</v>
      </c>
      <c r="C142" s="2"/>
      <c r="D142" s="2" t="s">
        <v>251</v>
      </c>
      <c r="E142" s="2" t="s">
        <v>251</v>
      </c>
      <c r="F142" s="2" t="s">
        <v>917</v>
      </c>
      <c r="G142" s="2" t="s">
        <v>918</v>
      </c>
      <c r="H142" s="2" t="s">
        <v>110</v>
      </c>
      <c r="I142" s="2" t="s">
        <v>111</v>
      </c>
      <c r="J142" s="2" t="s">
        <v>71</v>
      </c>
      <c r="K142" s="2" t="s">
        <v>72</v>
      </c>
      <c r="L142" s="2" t="s">
        <v>919</v>
      </c>
      <c r="M142" s="2"/>
    </row>
    <row r="143" customFormat="false" ht="23.85" hidden="false" customHeight="false" outlineLevel="0" collapsed="false">
      <c r="A143" s="2" t="s">
        <v>920</v>
      </c>
      <c r="B143" s="3" t="s">
        <v>921</v>
      </c>
      <c r="C143" s="2"/>
      <c r="D143" s="2" t="s">
        <v>251</v>
      </c>
      <c r="E143" s="2" t="s">
        <v>251</v>
      </c>
      <c r="F143" s="2" t="s">
        <v>922</v>
      </c>
      <c r="G143" s="2" t="s">
        <v>923</v>
      </c>
      <c r="H143" s="2" t="s">
        <v>924</v>
      </c>
      <c r="I143" s="2" t="s">
        <v>111</v>
      </c>
      <c r="J143" s="2" t="s">
        <v>21</v>
      </c>
      <c r="K143" s="2" t="s">
        <v>22</v>
      </c>
      <c r="L143" s="2" t="s">
        <v>925</v>
      </c>
      <c r="M143" s="2"/>
    </row>
    <row r="144" customFormat="false" ht="15" hidden="false" customHeight="false" outlineLevel="0" collapsed="false">
      <c r="A144" s="2" t="s">
        <v>926</v>
      </c>
      <c r="B144" s="3" t="s">
        <v>927</v>
      </c>
      <c r="C144" s="2" t="s">
        <v>928</v>
      </c>
      <c r="D144" s="2" t="s">
        <v>251</v>
      </c>
      <c r="E144" s="2" t="s">
        <v>251</v>
      </c>
      <c r="F144" s="2" t="s">
        <v>929</v>
      </c>
      <c r="G144" s="2" t="s">
        <v>930</v>
      </c>
      <c r="H144" s="2" t="s">
        <v>255</v>
      </c>
      <c r="I144" s="2" t="s">
        <v>48</v>
      </c>
      <c r="J144" s="2" t="s">
        <v>71</v>
      </c>
      <c r="K144" s="2" t="s">
        <v>72</v>
      </c>
      <c r="L144" s="2" t="s">
        <v>931</v>
      </c>
      <c r="M144" s="2"/>
    </row>
    <row r="145" customFormat="false" ht="23.85" hidden="false" customHeight="false" outlineLevel="0" collapsed="false">
      <c r="A145" s="2" t="s">
        <v>932</v>
      </c>
      <c r="B145" s="3" t="s">
        <v>933</v>
      </c>
      <c r="C145" s="2" t="s">
        <v>934</v>
      </c>
      <c r="D145" s="2" t="s">
        <v>82</v>
      </c>
      <c r="E145" s="2" t="s">
        <v>116</v>
      </c>
      <c r="F145" s="2" t="s">
        <v>935</v>
      </c>
      <c r="G145" s="2" t="s">
        <v>936</v>
      </c>
      <c r="H145" s="2" t="s">
        <v>47</v>
      </c>
      <c r="I145" s="2" t="s">
        <v>138</v>
      </c>
      <c r="J145" s="2" t="s">
        <v>71</v>
      </c>
      <c r="K145" s="2" t="s">
        <v>72</v>
      </c>
      <c r="L145" s="2" t="s">
        <v>937</v>
      </c>
      <c r="M145" s="2"/>
    </row>
    <row r="146" customFormat="false" ht="23.85" hidden="false" customHeight="false" outlineLevel="0" collapsed="false">
      <c r="A146" s="2" t="s">
        <v>938</v>
      </c>
      <c r="B146" s="3" t="s">
        <v>939</v>
      </c>
      <c r="C146" s="2" t="s">
        <v>940</v>
      </c>
      <c r="D146" s="2" t="s">
        <v>231</v>
      </c>
      <c r="E146" s="2" t="s">
        <v>208</v>
      </c>
      <c r="F146" s="2" t="s">
        <v>941</v>
      </c>
      <c r="G146" s="2" t="s">
        <v>942</v>
      </c>
      <c r="H146" s="2" t="s">
        <v>306</v>
      </c>
      <c r="I146" s="2" t="s">
        <v>78</v>
      </c>
      <c r="J146" s="2" t="s">
        <v>86</v>
      </c>
      <c r="K146" s="2" t="s">
        <v>87</v>
      </c>
      <c r="L146" s="2" t="s">
        <v>943</v>
      </c>
      <c r="M146" s="2" t="s">
        <v>944</v>
      </c>
    </row>
    <row r="147" customFormat="false" ht="15" hidden="false" customHeight="false" outlineLevel="0" collapsed="false">
      <c r="A147" s="2" t="s">
        <v>945</v>
      </c>
      <c r="B147" s="3" t="s">
        <v>946</v>
      </c>
      <c r="C147" s="2" t="s">
        <v>947</v>
      </c>
      <c r="D147" s="2" t="s">
        <v>238</v>
      </c>
      <c r="E147" s="2" t="s">
        <v>251</v>
      </c>
      <c r="F147" s="2" t="s">
        <v>948</v>
      </c>
      <c r="G147" s="2" t="s">
        <v>949</v>
      </c>
      <c r="H147" s="2" t="s">
        <v>241</v>
      </c>
      <c r="I147" s="2" t="s">
        <v>256</v>
      </c>
      <c r="J147" s="2" t="s">
        <v>21</v>
      </c>
      <c r="K147" s="2" t="s">
        <v>22</v>
      </c>
      <c r="L147" s="2" t="s">
        <v>950</v>
      </c>
      <c r="M147" s="2"/>
    </row>
    <row r="148" customFormat="false" ht="23.85" hidden="false" customHeight="false" outlineLevel="0" collapsed="false">
      <c r="A148" s="2" t="s">
        <v>951</v>
      </c>
      <c r="B148" s="3" t="s">
        <v>952</v>
      </c>
      <c r="C148" s="2" t="s">
        <v>953</v>
      </c>
      <c r="D148" s="2" t="s">
        <v>251</v>
      </c>
      <c r="E148" s="2" t="s">
        <v>251</v>
      </c>
      <c r="F148" s="2" t="s">
        <v>954</v>
      </c>
      <c r="G148" s="2" t="s">
        <v>955</v>
      </c>
      <c r="H148" s="2" t="s">
        <v>255</v>
      </c>
      <c r="I148" s="2" t="s">
        <v>78</v>
      </c>
      <c r="J148" s="2" t="s">
        <v>71</v>
      </c>
      <c r="K148" s="2" t="s">
        <v>22</v>
      </c>
      <c r="L148" s="2" t="s">
        <v>956</v>
      </c>
      <c r="M148" s="2"/>
    </row>
    <row r="149" customFormat="false" ht="23.85" hidden="false" customHeight="false" outlineLevel="0" collapsed="false">
      <c r="A149" s="2" t="s">
        <v>957</v>
      </c>
      <c r="B149" s="3" t="s">
        <v>958</v>
      </c>
      <c r="C149" s="2" t="s">
        <v>959</v>
      </c>
      <c r="D149" s="2" t="s">
        <v>106</v>
      </c>
      <c r="E149" s="2" t="s">
        <v>53</v>
      </c>
      <c r="F149" s="2" t="s">
        <v>960</v>
      </c>
      <c r="G149" s="2" t="s">
        <v>961</v>
      </c>
      <c r="H149" s="2" t="s">
        <v>110</v>
      </c>
      <c r="I149" s="2" t="s">
        <v>151</v>
      </c>
      <c r="J149" s="2" t="s">
        <v>21</v>
      </c>
      <c r="K149" s="2" t="s">
        <v>22</v>
      </c>
      <c r="L149" s="2" t="s">
        <v>962</v>
      </c>
      <c r="M149" s="2"/>
    </row>
    <row r="150" customFormat="false" ht="15" hidden="false" customHeight="false" outlineLevel="0" collapsed="false">
      <c r="A150" s="2" t="s">
        <v>963</v>
      </c>
      <c r="B150" s="3" t="s">
        <v>964</v>
      </c>
      <c r="C150" s="2" t="s">
        <v>965</v>
      </c>
      <c r="D150" s="2" t="s">
        <v>231</v>
      </c>
      <c r="E150" s="2" t="s">
        <v>116</v>
      </c>
      <c r="F150" s="2" t="s">
        <v>966</v>
      </c>
      <c r="G150" s="2" t="s">
        <v>967</v>
      </c>
      <c r="H150" s="2" t="s">
        <v>110</v>
      </c>
      <c r="I150" s="2" t="s">
        <v>111</v>
      </c>
      <c r="J150" s="2" t="s">
        <v>71</v>
      </c>
      <c r="K150" s="2" t="s">
        <v>22</v>
      </c>
      <c r="L150" s="2" t="s">
        <v>968</v>
      </c>
      <c r="M150" s="2"/>
    </row>
    <row r="151" customFormat="false" ht="15" hidden="false" customHeight="false" outlineLevel="0" collapsed="false">
      <c r="A151" s="2" t="s">
        <v>969</v>
      </c>
      <c r="B151" s="3" t="s">
        <v>970</v>
      </c>
      <c r="C151" s="2"/>
      <c r="D151" s="2" t="s">
        <v>15</v>
      </c>
      <c r="E151" s="2" t="s">
        <v>60</v>
      </c>
      <c r="F151" s="2" t="s">
        <v>971</v>
      </c>
      <c r="G151" s="2" t="s">
        <v>972</v>
      </c>
      <c r="H151" s="2" t="s">
        <v>47</v>
      </c>
      <c r="I151" s="2" t="s">
        <v>63</v>
      </c>
      <c r="J151" s="2" t="s">
        <v>21</v>
      </c>
      <c r="K151" s="2" t="s">
        <v>22</v>
      </c>
      <c r="L151" s="2" t="s">
        <v>973</v>
      </c>
      <c r="M151" s="2"/>
    </row>
    <row r="152" customFormat="false" ht="23.85" hidden="false" customHeight="false" outlineLevel="0" collapsed="false">
      <c r="A152" s="2" t="s">
        <v>974</v>
      </c>
      <c r="B152" s="3" t="s">
        <v>975</v>
      </c>
      <c r="C152" s="2" t="s">
        <v>976</v>
      </c>
      <c r="D152" s="2" t="s">
        <v>15</v>
      </c>
      <c r="E152" s="2" t="s">
        <v>977</v>
      </c>
      <c r="F152" s="2" t="s">
        <v>978</v>
      </c>
      <c r="G152" s="2" t="s">
        <v>979</v>
      </c>
      <c r="H152" s="2"/>
      <c r="I152" s="2" t="s">
        <v>94</v>
      </c>
      <c r="J152" s="2" t="s">
        <v>71</v>
      </c>
      <c r="K152" s="2" t="s">
        <v>72</v>
      </c>
      <c r="L152" s="2" t="s">
        <v>980</v>
      </c>
      <c r="M152" s="2"/>
    </row>
    <row r="153" customFormat="false" ht="23.85" hidden="false" customHeight="false" outlineLevel="0" collapsed="false">
      <c r="A153" s="2" t="s">
        <v>981</v>
      </c>
      <c r="B153" s="3" t="s">
        <v>982</v>
      </c>
      <c r="C153" s="2"/>
      <c r="D153" s="2" t="s">
        <v>15</v>
      </c>
      <c r="E153" s="2" t="s">
        <v>16</v>
      </c>
      <c r="F153" s="2" t="s">
        <v>983</v>
      </c>
      <c r="G153" s="2" t="s">
        <v>984</v>
      </c>
      <c r="H153" s="2" t="s">
        <v>47</v>
      </c>
      <c r="I153" s="2" t="s">
        <v>85</v>
      </c>
      <c r="J153" s="2" t="s">
        <v>21</v>
      </c>
      <c r="K153" s="2" t="s">
        <v>22</v>
      </c>
      <c r="L153" s="2" t="s">
        <v>985</v>
      </c>
      <c r="M153" s="2"/>
    </row>
    <row r="154" customFormat="false" ht="23.85" hidden="false" customHeight="false" outlineLevel="0" collapsed="false">
      <c r="A154" s="2" t="s">
        <v>986</v>
      </c>
      <c r="B154" s="3" t="s">
        <v>987</v>
      </c>
      <c r="C154" s="2"/>
      <c r="D154" s="2" t="s">
        <v>238</v>
      </c>
      <c r="E154" s="2" t="s">
        <v>16</v>
      </c>
      <c r="F154" s="2" t="s">
        <v>988</v>
      </c>
      <c r="G154" s="2" t="s">
        <v>989</v>
      </c>
      <c r="H154" s="2" t="s">
        <v>241</v>
      </c>
      <c r="I154" s="2" t="s">
        <v>48</v>
      </c>
      <c r="J154" s="2" t="s">
        <v>71</v>
      </c>
      <c r="K154" s="2" t="s">
        <v>22</v>
      </c>
      <c r="L154" s="2" t="s">
        <v>990</v>
      </c>
      <c r="M154" s="2"/>
    </row>
    <row r="155" customFormat="false" ht="15" hidden="false" customHeight="false" outlineLevel="0" collapsed="false">
      <c r="A155" s="2" t="s">
        <v>991</v>
      </c>
      <c r="B155" s="3" t="s">
        <v>992</v>
      </c>
      <c r="C155" s="2" t="s">
        <v>993</v>
      </c>
      <c r="D155" s="2" t="s">
        <v>238</v>
      </c>
      <c r="E155" s="2" t="s">
        <v>216</v>
      </c>
      <c r="F155" s="2" t="s">
        <v>994</v>
      </c>
      <c r="G155" s="2" t="s">
        <v>995</v>
      </c>
      <c r="H155" s="2" t="s">
        <v>241</v>
      </c>
      <c r="I155" s="2" t="s">
        <v>85</v>
      </c>
      <c r="J155" s="2" t="s">
        <v>71</v>
      </c>
      <c r="K155" s="2" t="s">
        <v>22</v>
      </c>
      <c r="L155" s="2" t="s">
        <v>996</v>
      </c>
      <c r="M155" s="2" t="s">
        <v>997</v>
      </c>
    </row>
    <row r="156" customFormat="false" ht="23.85" hidden="false" customHeight="false" outlineLevel="0" collapsed="false">
      <c r="A156" s="2" t="s">
        <v>998</v>
      </c>
      <c r="B156" s="3" t="s">
        <v>999</v>
      </c>
      <c r="C156" s="2"/>
      <c r="D156" s="2" t="s">
        <v>82</v>
      </c>
      <c r="E156" s="2" t="s">
        <v>266</v>
      </c>
      <c r="F156" s="2" t="s">
        <v>1000</v>
      </c>
      <c r="G156" s="2" t="s">
        <v>1001</v>
      </c>
      <c r="H156" s="2" t="s">
        <v>47</v>
      </c>
      <c r="I156" s="2" t="s">
        <v>63</v>
      </c>
      <c r="J156" s="2" t="s">
        <v>21</v>
      </c>
      <c r="K156" s="2" t="s">
        <v>22</v>
      </c>
      <c r="L156" s="2" t="s">
        <v>763</v>
      </c>
      <c r="M156" s="2"/>
    </row>
    <row r="157" customFormat="false" ht="23.85" hidden="false" customHeight="false" outlineLevel="0" collapsed="false">
      <c r="A157" s="2" t="s">
        <v>1002</v>
      </c>
      <c r="B157" s="3" t="s">
        <v>1003</v>
      </c>
      <c r="C157" s="2"/>
      <c r="D157" s="2" t="s">
        <v>59</v>
      </c>
      <c r="E157" s="2" t="s">
        <v>53</v>
      </c>
      <c r="F157" s="2" t="s">
        <v>1004</v>
      </c>
      <c r="G157" s="2" t="s">
        <v>1005</v>
      </c>
      <c r="H157" s="2" t="s">
        <v>1006</v>
      </c>
      <c r="I157" s="2" t="s">
        <v>182</v>
      </c>
      <c r="J157" s="2" t="s">
        <v>86</v>
      </c>
      <c r="K157" s="2" t="s">
        <v>87</v>
      </c>
      <c r="L157" s="2" t="s">
        <v>1007</v>
      </c>
      <c r="M157" s="2"/>
    </row>
    <row r="158" customFormat="false" ht="23.85" hidden="false" customHeight="false" outlineLevel="0" collapsed="false">
      <c r="A158" s="2" t="s">
        <v>1008</v>
      </c>
      <c r="B158" s="3" t="s">
        <v>1009</v>
      </c>
      <c r="C158" s="2" t="s">
        <v>1010</v>
      </c>
      <c r="D158" s="2" t="s">
        <v>59</v>
      </c>
      <c r="E158" s="2" t="s">
        <v>99</v>
      </c>
      <c r="F158" s="2" t="s">
        <v>1011</v>
      </c>
      <c r="G158" s="2" t="s">
        <v>1012</v>
      </c>
      <c r="H158" s="2" t="s">
        <v>1013</v>
      </c>
      <c r="I158" s="2" t="s">
        <v>29</v>
      </c>
      <c r="J158" s="2" t="s">
        <v>71</v>
      </c>
      <c r="K158" s="2" t="s">
        <v>72</v>
      </c>
      <c r="L158" s="2" t="s">
        <v>1014</v>
      </c>
      <c r="M158" s="2"/>
    </row>
    <row r="159" customFormat="false" ht="23.85" hidden="false" customHeight="false" outlineLevel="0" collapsed="false">
      <c r="A159" s="2" t="s">
        <v>1015</v>
      </c>
      <c r="B159" s="3" t="s">
        <v>1016</v>
      </c>
      <c r="C159" s="2" t="s">
        <v>1017</v>
      </c>
      <c r="D159" s="2" t="s">
        <v>59</v>
      </c>
      <c r="E159" s="2" t="s">
        <v>53</v>
      </c>
      <c r="F159" s="2" t="s">
        <v>1018</v>
      </c>
      <c r="G159" s="2" t="s">
        <v>1019</v>
      </c>
      <c r="H159" s="2" t="s">
        <v>452</v>
      </c>
      <c r="I159" s="2" t="s">
        <v>508</v>
      </c>
      <c r="J159" s="2" t="s">
        <v>86</v>
      </c>
      <c r="K159" s="2" t="s">
        <v>87</v>
      </c>
      <c r="L159" s="2" t="s">
        <v>1020</v>
      </c>
      <c r="M159" s="2" t="s">
        <v>1021</v>
      </c>
    </row>
    <row r="160" customFormat="false" ht="23.85" hidden="false" customHeight="false" outlineLevel="0" collapsed="false">
      <c r="A160" s="2" t="s">
        <v>1022</v>
      </c>
      <c r="B160" s="3" t="s">
        <v>1023</v>
      </c>
      <c r="C160" s="2"/>
      <c r="D160" s="2" t="s">
        <v>59</v>
      </c>
      <c r="E160" s="2" t="s">
        <v>53</v>
      </c>
      <c r="F160" s="2" t="s">
        <v>1024</v>
      </c>
      <c r="G160" s="2" t="s">
        <v>1025</v>
      </c>
      <c r="H160" s="2" t="s">
        <v>543</v>
      </c>
      <c r="I160" s="2" t="s">
        <v>29</v>
      </c>
      <c r="J160" s="2" t="s">
        <v>86</v>
      </c>
      <c r="K160" s="2" t="s">
        <v>72</v>
      </c>
      <c r="L160" s="2" t="s">
        <v>1026</v>
      </c>
      <c r="M160" s="2"/>
    </row>
    <row r="161" customFormat="false" ht="15" hidden="false" customHeight="false" outlineLevel="0" collapsed="false">
      <c r="A161" s="2" t="s">
        <v>1027</v>
      </c>
      <c r="B161" s="3" t="s">
        <v>1028</v>
      </c>
      <c r="C161" s="2"/>
      <c r="D161" s="2" t="s">
        <v>43</v>
      </c>
      <c r="E161" s="2" t="s">
        <v>53</v>
      </c>
      <c r="F161" s="2" t="s">
        <v>1029</v>
      </c>
      <c r="G161" s="2" t="s">
        <v>1030</v>
      </c>
      <c r="H161" s="2" t="s">
        <v>1006</v>
      </c>
      <c r="I161" s="2" t="s">
        <v>138</v>
      </c>
      <c r="J161" s="2" t="s">
        <v>86</v>
      </c>
      <c r="K161" s="2" t="s">
        <v>87</v>
      </c>
      <c r="L161" s="2" t="s">
        <v>1031</v>
      </c>
      <c r="M161" s="2"/>
    </row>
    <row r="162" customFormat="false" ht="23.85" hidden="false" customHeight="false" outlineLevel="0" collapsed="false">
      <c r="A162" s="2" t="s">
        <v>1032</v>
      </c>
      <c r="B162" s="3" t="s">
        <v>1033</v>
      </c>
      <c r="C162" s="2" t="s">
        <v>1034</v>
      </c>
      <c r="D162" s="2" t="s">
        <v>106</v>
      </c>
      <c r="E162" s="2" t="s">
        <v>53</v>
      </c>
      <c r="F162" s="2" t="s">
        <v>1035</v>
      </c>
      <c r="G162" s="2" t="s">
        <v>1036</v>
      </c>
      <c r="H162" s="2" t="s">
        <v>1037</v>
      </c>
      <c r="I162" s="2" t="s">
        <v>78</v>
      </c>
      <c r="J162" s="2" t="s">
        <v>71</v>
      </c>
      <c r="K162" s="2" t="s">
        <v>72</v>
      </c>
      <c r="L162" s="2" t="s">
        <v>1038</v>
      </c>
      <c r="M162" s="2"/>
    </row>
    <row r="163" customFormat="false" ht="15" hidden="false" customHeight="false" outlineLevel="0" collapsed="false">
      <c r="A163" s="2" t="s">
        <v>1039</v>
      </c>
      <c r="B163" s="3" t="s">
        <v>1040</v>
      </c>
      <c r="C163" s="2" t="s">
        <v>1041</v>
      </c>
      <c r="D163" s="2" t="s">
        <v>59</v>
      </c>
      <c r="E163" s="2" t="s">
        <v>53</v>
      </c>
      <c r="F163" s="2" t="s">
        <v>1042</v>
      </c>
      <c r="G163" s="2" t="s">
        <v>1043</v>
      </c>
      <c r="H163" s="2" t="s">
        <v>1006</v>
      </c>
      <c r="I163" s="2" t="s">
        <v>508</v>
      </c>
      <c r="J163" s="2" t="s">
        <v>86</v>
      </c>
      <c r="K163" s="2" t="s">
        <v>87</v>
      </c>
      <c r="L163" s="2" t="s">
        <v>1044</v>
      </c>
      <c r="M163" s="2"/>
    </row>
    <row r="164" customFormat="false" ht="15" hidden="false" customHeight="false" outlineLevel="0" collapsed="false">
      <c r="A164" s="2" t="s">
        <v>1045</v>
      </c>
      <c r="B164" s="3" t="s">
        <v>1046</v>
      </c>
      <c r="C164" s="2"/>
      <c r="D164" s="2" t="s">
        <v>59</v>
      </c>
      <c r="E164" s="2" t="s">
        <v>53</v>
      </c>
      <c r="F164" s="2" t="s">
        <v>1047</v>
      </c>
      <c r="G164" s="2" t="s">
        <v>1048</v>
      </c>
      <c r="H164" s="2" t="s">
        <v>1006</v>
      </c>
      <c r="I164" s="2" t="s">
        <v>508</v>
      </c>
      <c r="J164" s="2" t="s">
        <v>86</v>
      </c>
      <c r="K164" s="2" t="s">
        <v>87</v>
      </c>
      <c r="L164" s="2" t="s">
        <v>1049</v>
      </c>
      <c r="M164" s="2"/>
    </row>
    <row r="165" customFormat="false" ht="23.85" hidden="false" customHeight="false" outlineLevel="0" collapsed="false">
      <c r="A165" s="2" t="s">
        <v>1050</v>
      </c>
      <c r="B165" s="3" t="s">
        <v>1051</v>
      </c>
      <c r="C165" s="2" t="s">
        <v>1052</v>
      </c>
      <c r="D165" s="2" t="s">
        <v>59</v>
      </c>
      <c r="E165" s="2" t="s">
        <v>53</v>
      </c>
      <c r="F165" s="2" t="s">
        <v>1053</v>
      </c>
      <c r="G165" s="2" t="s">
        <v>1054</v>
      </c>
      <c r="H165" s="2" t="s">
        <v>1006</v>
      </c>
      <c r="I165" s="2" t="s">
        <v>182</v>
      </c>
      <c r="J165" s="2" t="s">
        <v>86</v>
      </c>
      <c r="K165" s="2" t="s">
        <v>87</v>
      </c>
      <c r="L165" s="2" t="s">
        <v>1055</v>
      </c>
      <c r="M165" s="2" t="s">
        <v>1056</v>
      </c>
    </row>
    <row r="166" customFormat="false" ht="23.85" hidden="false" customHeight="false" outlineLevel="0" collapsed="false">
      <c r="A166" s="2" t="s">
        <v>1057</v>
      </c>
      <c r="B166" s="3" t="s">
        <v>1058</v>
      </c>
      <c r="C166" s="2"/>
      <c r="D166" s="2" t="s">
        <v>59</v>
      </c>
      <c r="E166" s="2" t="s">
        <v>53</v>
      </c>
      <c r="F166" s="2" t="s">
        <v>1059</v>
      </c>
      <c r="G166" s="2" t="s">
        <v>1060</v>
      </c>
      <c r="H166" s="2" t="s">
        <v>543</v>
      </c>
      <c r="I166" s="2" t="s">
        <v>78</v>
      </c>
      <c r="J166" s="2" t="s">
        <v>21</v>
      </c>
      <c r="K166" s="2" t="s">
        <v>22</v>
      </c>
      <c r="L166" s="2" t="s">
        <v>1061</v>
      </c>
      <c r="M166" s="2"/>
    </row>
    <row r="167" customFormat="false" ht="23.85" hidden="false" customHeight="false" outlineLevel="0" collapsed="false">
      <c r="A167" s="2" t="s">
        <v>1062</v>
      </c>
      <c r="B167" s="3" t="s">
        <v>1063</v>
      </c>
      <c r="C167" s="2" t="s">
        <v>1064</v>
      </c>
      <c r="D167" s="2" t="s">
        <v>43</v>
      </c>
      <c r="E167" s="2" t="s">
        <v>53</v>
      </c>
      <c r="F167" s="2" t="s">
        <v>1065</v>
      </c>
      <c r="G167" s="2" t="s">
        <v>1066</v>
      </c>
      <c r="H167" s="2" t="s">
        <v>543</v>
      </c>
      <c r="I167" s="2" t="s">
        <v>78</v>
      </c>
      <c r="J167" s="2" t="s">
        <v>71</v>
      </c>
      <c r="K167" s="2" t="s">
        <v>72</v>
      </c>
      <c r="L167" s="2" t="s">
        <v>1067</v>
      </c>
      <c r="M167" s="2"/>
    </row>
    <row r="168" customFormat="false" ht="23.85" hidden="false" customHeight="false" outlineLevel="0" collapsed="false">
      <c r="A168" s="2" t="s">
        <v>1068</v>
      </c>
      <c r="B168" s="3" t="s">
        <v>1069</v>
      </c>
      <c r="C168" s="2"/>
      <c r="D168" s="2" t="s">
        <v>82</v>
      </c>
      <c r="E168" s="2" t="s">
        <v>1070</v>
      </c>
      <c r="F168" s="2" t="s">
        <v>1071</v>
      </c>
      <c r="G168" s="2" t="s">
        <v>1072</v>
      </c>
      <c r="H168" s="2" t="s">
        <v>211</v>
      </c>
      <c r="I168" s="2" t="s">
        <v>78</v>
      </c>
      <c r="J168" s="2" t="s">
        <v>21</v>
      </c>
      <c r="K168" s="2" t="s">
        <v>72</v>
      </c>
      <c r="L168" s="2" t="s">
        <v>1073</v>
      </c>
      <c r="M168" s="2"/>
    </row>
    <row r="169" customFormat="false" ht="15" hidden="false" customHeight="false" outlineLevel="0" collapsed="false">
      <c r="A169" s="2" t="s">
        <v>1074</v>
      </c>
      <c r="B169" s="3" t="s">
        <v>1075</v>
      </c>
      <c r="C169" s="2" t="s">
        <v>1076</v>
      </c>
      <c r="D169" s="2" t="s">
        <v>34</v>
      </c>
      <c r="E169" s="2" t="s">
        <v>535</v>
      </c>
      <c r="F169" s="2" t="s">
        <v>1077</v>
      </c>
      <c r="G169" s="2" t="s">
        <v>1078</v>
      </c>
      <c r="H169" s="2" t="s">
        <v>1079</v>
      </c>
      <c r="I169" s="2" t="s">
        <v>29</v>
      </c>
      <c r="J169" s="2" t="s">
        <v>71</v>
      </c>
      <c r="K169" s="2" t="s">
        <v>72</v>
      </c>
      <c r="L169" s="2" t="s">
        <v>1080</v>
      </c>
      <c r="M169" s="2"/>
    </row>
    <row r="170" customFormat="false" ht="15" hidden="false" customHeight="false" outlineLevel="0" collapsed="false">
      <c r="A170" s="2" t="s">
        <v>1081</v>
      </c>
      <c r="B170" s="3" t="s">
        <v>1082</v>
      </c>
      <c r="C170" s="2" t="s">
        <v>1083</v>
      </c>
      <c r="D170" s="2" t="s">
        <v>15</v>
      </c>
      <c r="E170" s="2" t="s">
        <v>91</v>
      </c>
      <c r="F170" s="2" t="s">
        <v>1084</v>
      </c>
      <c r="G170" s="2" t="s">
        <v>1085</v>
      </c>
      <c r="H170" s="2" t="s">
        <v>47</v>
      </c>
      <c r="I170" s="2" t="s">
        <v>85</v>
      </c>
      <c r="J170" s="2" t="s">
        <v>71</v>
      </c>
      <c r="K170" s="2" t="s">
        <v>22</v>
      </c>
      <c r="L170" s="2" t="s">
        <v>343</v>
      </c>
      <c r="M170" s="2"/>
    </row>
    <row r="171" customFormat="false" ht="23.85" hidden="false" customHeight="false" outlineLevel="0" collapsed="false">
      <c r="A171" s="2" t="s">
        <v>1086</v>
      </c>
      <c r="B171" s="3" t="s">
        <v>1087</v>
      </c>
      <c r="C171" s="2"/>
      <c r="D171" s="2" t="s">
        <v>59</v>
      </c>
      <c r="E171" s="2" t="s">
        <v>99</v>
      </c>
      <c r="F171" s="2" t="s">
        <v>1088</v>
      </c>
      <c r="G171" s="2" t="s">
        <v>1089</v>
      </c>
      <c r="H171" s="2" t="s">
        <v>543</v>
      </c>
      <c r="I171" s="2" t="s">
        <v>29</v>
      </c>
      <c r="J171" s="2" t="s">
        <v>71</v>
      </c>
      <c r="K171" s="2" t="s">
        <v>22</v>
      </c>
      <c r="L171" s="2" t="s">
        <v>1090</v>
      </c>
      <c r="M171" s="2"/>
    </row>
    <row r="172" customFormat="false" ht="23.85" hidden="false" customHeight="false" outlineLevel="0" collapsed="false">
      <c r="A172" s="2" t="s">
        <v>1091</v>
      </c>
      <c r="B172" s="3" t="s">
        <v>1092</v>
      </c>
      <c r="C172" s="2" t="s">
        <v>1093</v>
      </c>
      <c r="D172" s="2" t="s">
        <v>34</v>
      </c>
      <c r="E172" s="2" t="s">
        <v>1094</v>
      </c>
      <c r="F172" s="2" t="s">
        <v>1095</v>
      </c>
      <c r="G172" s="2" t="s">
        <v>1096</v>
      </c>
      <c r="H172" s="2" t="s">
        <v>1097</v>
      </c>
      <c r="I172" s="2" t="s">
        <v>29</v>
      </c>
      <c r="J172" s="2" t="s">
        <v>21</v>
      </c>
      <c r="K172" s="2" t="s">
        <v>72</v>
      </c>
      <c r="L172" s="2" t="s">
        <v>1098</v>
      </c>
      <c r="M172" s="2"/>
    </row>
    <row r="173" customFormat="false" ht="23.85" hidden="false" customHeight="false" outlineLevel="0" collapsed="false">
      <c r="A173" s="2" t="s">
        <v>1099</v>
      </c>
      <c r="B173" s="3" t="s">
        <v>1100</v>
      </c>
      <c r="C173" s="2" t="s">
        <v>1101</v>
      </c>
      <c r="D173" s="2" t="s">
        <v>43</v>
      </c>
      <c r="E173" s="2" t="s">
        <v>99</v>
      </c>
      <c r="F173" s="2" t="s">
        <v>1102</v>
      </c>
      <c r="G173" s="2" t="s">
        <v>1103</v>
      </c>
      <c r="H173" s="2"/>
      <c r="I173" s="2" t="s">
        <v>151</v>
      </c>
      <c r="J173" s="2" t="s">
        <v>71</v>
      </c>
      <c r="K173" s="2" t="s">
        <v>22</v>
      </c>
      <c r="L173" s="2" t="s">
        <v>1104</v>
      </c>
      <c r="M173" s="2"/>
    </row>
    <row r="174" customFormat="false" ht="23.85" hidden="false" customHeight="false" outlineLevel="0" collapsed="false">
      <c r="A174" s="2" t="s">
        <v>1105</v>
      </c>
      <c r="B174" s="3" t="s">
        <v>1106</v>
      </c>
      <c r="C174" s="2" t="s">
        <v>1107</v>
      </c>
      <c r="D174" s="2" t="s">
        <v>34</v>
      </c>
      <c r="E174" s="2" t="s">
        <v>35</v>
      </c>
      <c r="F174" s="2" t="s">
        <v>1108</v>
      </c>
      <c r="G174" s="2" t="s">
        <v>1109</v>
      </c>
      <c r="H174" s="2" t="s">
        <v>38</v>
      </c>
      <c r="I174" s="2" t="s">
        <v>508</v>
      </c>
      <c r="J174" s="2" t="s">
        <v>71</v>
      </c>
      <c r="K174" s="2" t="s">
        <v>72</v>
      </c>
      <c r="L174" s="2" t="s">
        <v>1110</v>
      </c>
      <c r="M174" s="2" t="s">
        <v>1111</v>
      </c>
    </row>
    <row r="175" customFormat="false" ht="23.85" hidden="false" customHeight="false" outlineLevel="0" collapsed="false">
      <c r="A175" s="2" t="s">
        <v>1112</v>
      </c>
      <c r="B175" s="3" t="s">
        <v>1113</v>
      </c>
      <c r="C175" s="2" t="s">
        <v>1114</v>
      </c>
      <c r="D175" s="2" t="s">
        <v>238</v>
      </c>
      <c r="E175" s="2" t="s">
        <v>977</v>
      </c>
      <c r="F175" s="2" t="s">
        <v>1115</v>
      </c>
      <c r="G175" s="2" t="s">
        <v>1116</v>
      </c>
      <c r="H175" s="2" t="s">
        <v>241</v>
      </c>
      <c r="I175" s="2" t="s">
        <v>111</v>
      </c>
      <c r="J175" s="2" t="s">
        <v>71</v>
      </c>
      <c r="K175" s="2" t="s">
        <v>72</v>
      </c>
      <c r="L175" s="2" t="s">
        <v>1117</v>
      </c>
      <c r="M175" s="2"/>
    </row>
    <row r="176" customFormat="false" ht="23.85" hidden="false" customHeight="false" outlineLevel="0" collapsed="false">
      <c r="A176" s="2" t="s">
        <v>1118</v>
      </c>
      <c r="B176" s="3" t="s">
        <v>1119</v>
      </c>
      <c r="C176" s="2" t="s">
        <v>1120</v>
      </c>
      <c r="D176" s="2" t="s">
        <v>43</v>
      </c>
      <c r="E176" s="2" t="s">
        <v>99</v>
      </c>
      <c r="F176" s="2" t="s">
        <v>1121</v>
      </c>
      <c r="G176" s="2" t="s">
        <v>1122</v>
      </c>
      <c r="H176" s="2" t="s">
        <v>452</v>
      </c>
      <c r="I176" s="2" t="s">
        <v>151</v>
      </c>
      <c r="J176" s="2" t="s">
        <v>21</v>
      </c>
      <c r="K176" s="2" t="s">
        <v>22</v>
      </c>
      <c r="L176" s="2" t="s">
        <v>1123</v>
      </c>
      <c r="M176" s="2"/>
    </row>
    <row r="177" customFormat="false" ht="23.85" hidden="false" customHeight="false" outlineLevel="0" collapsed="false">
      <c r="A177" s="2" t="s">
        <v>1124</v>
      </c>
      <c r="B177" s="3" t="s">
        <v>1125</v>
      </c>
      <c r="C177" s="2" t="s">
        <v>1126</v>
      </c>
      <c r="D177" s="2" t="s">
        <v>238</v>
      </c>
      <c r="E177" s="2" t="s">
        <v>99</v>
      </c>
      <c r="F177" s="2" t="s">
        <v>1127</v>
      </c>
      <c r="G177" s="2" t="s">
        <v>1128</v>
      </c>
      <c r="H177" s="2" t="s">
        <v>241</v>
      </c>
      <c r="I177" s="2" t="s">
        <v>119</v>
      </c>
      <c r="J177" s="2" t="s">
        <v>71</v>
      </c>
      <c r="K177" s="2" t="s">
        <v>87</v>
      </c>
      <c r="L177" s="2" t="s">
        <v>1129</v>
      </c>
      <c r="M177" s="2" t="s">
        <v>1130</v>
      </c>
    </row>
    <row r="178" customFormat="false" ht="23.85" hidden="false" customHeight="false" outlineLevel="0" collapsed="false">
      <c r="A178" s="2" t="s">
        <v>1131</v>
      </c>
      <c r="B178" s="3" t="s">
        <v>1132</v>
      </c>
      <c r="C178" s="2" t="s">
        <v>1133</v>
      </c>
      <c r="D178" s="2" t="s">
        <v>15</v>
      </c>
      <c r="E178" s="2" t="s">
        <v>99</v>
      </c>
      <c r="F178" s="2" t="s">
        <v>1134</v>
      </c>
      <c r="G178" s="2" t="s">
        <v>1135</v>
      </c>
      <c r="H178" s="2" t="s">
        <v>1136</v>
      </c>
      <c r="I178" s="2" t="s">
        <v>119</v>
      </c>
      <c r="J178" s="2" t="s">
        <v>86</v>
      </c>
      <c r="K178" s="2" t="s">
        <v>87</v>
      </c>
      <c r="L178" s="2" t="s">
        <v>1137</v>
      </c>
      <c r="M178" s="2" t="s">
        <v>1138</v>
      </c>
    </row>
    <row r="179" customFormat="false" ht="23.85" hidden="false" customHeight="false" outlineLevel="0" collapsed="false">
      <c r="A179" s="2" t="s">
        <v>1139</v>
      </c>
      <c r="B179" s="3" t="s">
        <v>1140</v>
      </c>
      <c r="C179" s="2" t="s">
        <v>1141</v>
      </c>
      <c r="D179" s="2" t="s">
        <v>82</v>
      </c>
      <c r="E179" s="2" t="s">
        <v>266</v>
      </c>
      <c r="F179" s="2" t="s">
        <v>1142</v>
      </c>
      <c r="G179" s="2" t="s">
        <v>1143</v>
      </c>
      <c r="H179" s="2" t="s">
        <v>47</v>
      </c>
      <c r="I179" s="2" t="s">
        <v>78</v>
      </c>
      <c r="J179" s="2" t="s">
        <v>21</v>
      </c>
      <c r="K179" s="2" t="s">
        <v>72</v>
      </c>
      <c r="L179" s="2" t="s">
        <v>1144</v>
      </c>
      <c r="M179" s="2"/>
    </row>
    <row r="180" customFormat="false" ht="23.85" hidden="false" customHeight="false" outlineLevel="0" collapsed="false">
      <c r="A180" s="2" t="s">
        <v>1145</v>
      </c>
      <c r="B180" s="3" t="s">
        <v>1146</v>
      </c>
      <c r="C180" s="2"/>
      <c r="D180" s="2" t="s">
        <v>251</v>
      </c>
      <c r="E180" s="2" t="s">
        <v>252</v>
      </c>
      <c r="F180" s="2" t="s">
        <v>1147</v>
      </c>
      <c r="G180" s="2" t="s">
        <v>1148</v>
      </c>
      <c r="H180" s="2" t="s">
        <v>255</v>
      </c>
      <c r="I180" s="2" t="s">
        <v>256</v>
      </c>
      <c r="J180" s="2" t="s">
        <v>21</v>
      </c>
      <c r="K180" s="2" t="s">
        <v>22</v>
      </c>
      <c r="L180" s="2" t="s">
        <v>1149</v>
      </c>
      <c r="M180" s="2"/>
    </row>
    <row r="181" customFormat="false" ht="15" hidden="false" customHeight="false" outlineLevel="0" collapsed="false">
      <c r="A181" s="2" t="s">
        <v>1150</v>
      </c>
      <c r="B181" s="3" t="s">
        <v>1151</v>
      </c>
      <c r="C181" s="2"/>
      <c r="D181" s="2" t="s">
        <v>82</v>
      </c>
      <c r="E181" s="2" t="s">
        <v>91</v>
      </c>
      <c r="F181" s="2" t="s">
        <v>1152</v>
      </c>
      <c r="G181" s="2" t="s">
        <v>1153</v>
      </c>
      <c r="H181" s="2" t="s">
        <v>675</v>
      </c>
      <c r="I181" s="2" t="s">
        <v>138</v>
      </c>
      <c r="J181" s="2" t="s">
        <v>86</v>
      </c>
      <c r="K181" s="2" t="s">
        <v>87</v>
      </c>
      <c r="L181" s="2" t="s">
        <v>1154</v>
      </c>
      <c r="M181" s="2" t="s">
        <v>1155</v>
      </c>
    </row>
    <row r="182" customFormat="false" ht="23.85" hidden="false" customHeight="false" outlineLevel="0" collapsed="false">
      <c r="A182" s="2" t="s">
        <v>1156</v>
      </c>
      <c r="B182" s="3" t="s">
        <v>1157</v>
      </c>
      <c r="C182" s="2"/>
      <c r="D182" s="2" t="s">
        <v>106</v>
      </c>
      <c r="E182" s="2" t="s">
        <v>53</v>
      </c>
      <c r="F182" s="2" t="s">
        <v>1158</v>
      </c>
      <c r="G182" s="2" t="s">
        <v>1159</v>
      </c>
      <c r="H182" s="2" t="s">
        <v>110</v>
      </c>
      <c r="I182" s="2" t="s">
        <v>78</v>
      </c>
      <c r="J182" s="2" t="s">
        <v>86</v>
      </c>
      <c r="K182" s="2" t="s">
        <v>87</v>
      </c>
      <c r="L182" s="2" t="s">
        <v>1160</v>
      </c>
      <c r="M182" s="2"/>
    </row>
    <row r="183" customFormat="false" ht="15" hidden="false" customHeight="false" outlineLevel="0" collapsed="false">
      <c r="A183" s="2" t="s">
        <v>1161</v>
      </c>
      <c r="B183" s="3" t="s">
        <v>1162</v>
      </c>
      <c r="C183" s="2" t="s">
        <v>1163</v>
      </c>
      <c r="D183" s="2" t="s">
        <v>82</v>
      </c>
      <c r="E183" s="2" t="s">
        <v>691</v>
      </c>
      <c r="F183" s="2" t="s">
        <v>1164</v>
      </c>
      <c r="G183" s="2" t="s">
        <v>1165</v>
      </c>
      <c r="H183" s="2" t="s">
        <v>675</v>
      </c>
      <c r="I183" s="2" t="s">
        <v>85</v>
      </c>
      <c r="J183" s="2" t="s">
        <v>71</v>
      </c>
      <c r="K183" s="2" t="s">
        <v>72</v>
      </c>
      <c r="L183" s="2" t="s">
        <v>1166</v>
      </c>
      <c r="M183" s="2"/>
    </row>
    <row r="184" customFormat="false" ht="23.85" hidden="false" customHeight="false" outlineLevel="0" collapsed="false">
      <c r="A184" s="2" t="s">
        <v>1167</v>
      </c>
      <c r="B184" s="3" t="s">
        <v>1168</v>
      </c>
      <c r="C184" s="2" t="s">
        <v>1169</v>
      </c>
      <c r="D184" s="2" t="s">
        <v>15</v>
      </c>
      <c r="E184" s="2" t="s">
        <v>494</v>
      </c>
      <c r="F184" s="2" t="s">
        <v>1170</v>
      </c>
      <c r="G184" s="2" t="s">
        <v>1171</v>
      </c>
      <c r="H184" s="2" t="s">
        <v>47</v>
      </c>
      <c r="I184" s="2" t="s">
        <v>182</v>
      </c>
      <c r="J184" s="2" t="s">
        <v>86</v>
      </c>
      <c r="K184" s="2" t="s">
        <v>87</v>
      </c>
      <c r="L184" s="2" t="s">
        <v>1172</v>
      </c>
      <c r="M184" s="2"/>
    </row>
    <row r="185" customFormat="false" ht="23.85" hidden="false" customHeight="false" outlineLevel="0" collapsed="false">
      <c r="A185" s="2" t="s">
        <v>1173</v>
      </c>
      <c r="B185" s="3" t="s">
        <v>1174</v>
      </c>
      <c r="C185" s="2" t="s">
        <v>1175</v>
      </c>
      <c r="D185" s="2" t="s">
        <v>15</v>
      </c>
      <c r="E185" s="2" t="s">
        <v>535</v>
      </c>
      <c r="F185" s="2" t="s">
        <v>1176</v>
      </c>
      <c r="G185" s="2" t="s">
        <v>1177</v>
      </c>
      <c r="H185" s="2" t="s">
        <v>47</v>
      </c>
      <c r="I185" s="2" t="s">
        <v>182</v>
      </c>
      <c r="J185" s="2" t="s">
        <v>86</v>
      </c>
      <c r="K185" s="2" t="s">
        <v>87</v>
      </c>
      <c r="L185" s="2" t="s">
        <v>1178</v>
      </c>
      <c r="M185" s="2" t="s">
        <v>1179</v>
      </c>
    </row>
    <row r="186" customFormat="false" ht="23.85" hidden="false" customHeight="false" outlineLevel="0" collapsed="false">
      <c r="A186" s="2" t="s">
        <v>1180</v>
      </c>
      <c r="B186" s="3" t="s">
        <v>1181</v>
      </c>
      <c r="C186" s="2"/>
      <c r="D186" s="2" t="s">
        <v>179</v>
      </c>
      <c r="E186" s="2" t="s">
        <v>208</v>
      </c>
      <c r="F186" s="2" t="s">
        <v>1182</v>
      </c>
      <c r="G186" s="2" t="s">
        <v>1183</v>
      </c>
      <c r="H186" s="2"/>
      <c r="I186" s="2" t="s">
        <v>78</v>
      </c>
      <c r="J186" s="2" t="s">
        <v>86</v>
      </c>
      <c r="K186" s="2" t="s">
        <v>87</v>
      </c>
      <c r="L186" s="2" t="s">
        <v>1184</v>
      </c>
      <c r="M186" s="2"/>
    </row>
    <row r="187" customFormat="false" ht="23.85" hidden="false" customHeight="false" outlineLevel="0" collapsed="false">
      <c r="A187" s="2" t="s">
        <v>1185</v>
      </c>
      <c r="B187" s="3" t="s">
        <v>1186</v>
      </c>
      <c r="C187" s="2" t="s">
        <v>1187</v>
      </c>
      <c r="D187" s="2" t="s">
        <v>15</v>
      </c>
      <c r="E187" s="2" t="s">
        <v>208</v>
      </c>
      <c r="F187" s="2" t="s">
        <v>1188</v>
      </c>
      <c r="G187" s="2" t="s">
        <v>1189</v>
      </c>
      <c r="H187" s="2" t="s">
        <v>47</v>
      </c>
      <c r="I187" s="2" t="s">
        <v>78</v>
      </c>
      <c r="J187" s="2" t="s">
        <v>71</v>
      </c>
      <c r="K187" s="2" t="s">
        <v>72</v>
      </c>
      <c r="L187" s="2" t="s">
        <v>1190</v>
      </c>
      <c r="M187" s="2"/>
    </row>
    <row r="188" customFormat="false" ht="23.85" hidden="false" customHeight="false" outlineLevel="0" collapsed="false">
      <c r="A188" s="2" t="s">
        <v>1191</v>
      </c>
      <c r="B188" s="3" t="s">
        <v>1192</v>
      </c>
      <c r="C188" s="2"/>
      <c r="D188" s="2" t="s">
        <v>15</v>
      </c>
      <c r="E188" s="2" t="s">
        <v>266</v>
      </c>
      <c r="F188" s="2" t="s">
        <v>1193</v>
      </c>
      <c r="G188" s="2" t="s">
        <v>1194</v>
      </c>
      <c r="H188" s="2" t="s">
        <v>47</v>
      </c>
      <c r="I188" s="2" t="s">
        <v>182</v>
      </c>
      <c r="J188" s="2" t="s">
        <v>86</v>
      </c>
      <c r="K188" s="2" t="s">
        <v>87</v>
      </c>
      <c r="L188" s="2" t="s">
        <v>1195</v>
      </c>
      <c r="M188" s="2"/>
    </row>
    <row r="189" customFormat="false" ht="23.85" hidden="false" customHeight="false" outlineLevel="0" collapsed="false">
      <c r="A189" s="2" t="s">
        <v>1196</v>
      </c>
      <c r="B189" s="3" t="s">
        <v>1197</v>
      </c>
      <c r="C189" s="2"/>
      <c r="D189" s="2" t="s">
        <v>231</v>
      </c>
      <c r="E189" s="2" t="s">
        <v>53</v>
      </c>
      <c r="F189" s="2" t="s">
        <v>1198</v>
      </c>
      <c r="G189" s="2" t="s">
        <v>1199</v>
      </c>
      <c r="H189" s="2" t="s">
        <v>1200</v>
      </c>
      <c r="I189" s="2" t="s">
        <v>78</v>
      </c>
      <c r="J189" s="2" t="s">
        <v>86</v>
      </c>
      <c r="K189" s="2" t="s">
        <v>87</v>
      </c>
      <c r="L189" s="2" t="s">
        <v>1201</v>
      </c>
      <c r="M189" s="2"/>
    </row>
    <row r="190" customFormat="false" ht="23.85" hidden="false" customHeight="false" outlineLevel="0" collapsed="false">
      <c r="A190" s="2" t="s">
        <v>1202</v>
      </c>
      <c r="B190" s="3" t="s">
        <v>1203</v>
      </c>
      <c r="C190" s="2"/>
      <c r="D190" s="2" t="s">
        <v>34</v>
      </c>
      <c r="E190" s="2" t="s">
        <v>99</v>
      </c>
      <c r="F190" s="2" t="s">
        <v>1204</v>
      </c>
      <c r="G190" s="2" t="s">
        <v>1205</v>
      </c>
      <c r="H190" s="2" t="s">
        <v>288</v>
      </c>
      <c r="I190" s="2" t="s">
        <v>78</v>
      </c>
      <c r="J190" s="2" t="s">
        <v>21</v>
      </c>
      <c r="K190" s="2" t="s">
        <v>22</v>
      </c>
      <c r="L190" s="2" t="s">
        <v>1206</v>
      </c>
      <c r="M190" s="2"/>
    </row>
    <row r="191" customFormat="false" ht="23.85" hidden="false" customHeight="false" outlineLevel="0" collapsed="false">
      <c r="A191" s="2" t="s">
        <v>1207</v>
      </c>
      <c r="B191" s="3" t="s">
        <v>1208</v>
      </c>
      <c r="C191" s="2" t="s">
        <v>1209</v>
      </c>
      <c r="D191" s="2" t="s">
        <v>52</v>
      </c>
      <c r="E191" s="2" t="s">
        <v>691</v>
      </c>
      <c r="F191" s="2" t="s">
        <v>1210</v>
      </c>
      <c r="G191" s="2" t="s">
        <v>1211</v>
      </c>
      <c r="H191" s="2" t="s">
        <v>452</v>
      </c>
      <c r="I191" s="2" t="s">
        <v>85</v>
      </c>
      <c r="J191" s="2" t="s">
        <v>71</v>
      </c>
      <c r="K191" s="2" t="s">
        <v>72</v>
      </c>
      <c r="L191" s="2" t="s">
        <v>1212</v>
      </c>
      <c r="M191" s="2" t="s">
        <v>1213</v>
      </c>
    </row>
    <row r="192" customFormat="false" ht="15" hidden="false" customHeight="false" outlineLevel="0" collapsed="false">
      <c r="A192" s="2" t="s">
        <v>1214</v>
      </c>
      <c r="B192" s="3" t="s">
        <v>1215</v>
      </c>
      <c r="C192" s="2"/>
      <c r="D192" s="2" t="s">
        <v>43</v>
      </c>
      <c r="E192" s="2" t="s">
        <v>35</v>
      </c>
      <c r="F192" s="2" t="s">
        <v>1216</v>
      </c>
      <c r="G192" s="2" t="s">
        <v>1217</v>
      </c>
      <c r="H192" s="2" t="s">
        <v>1218</v>
      </c>
      <c r="I192" s="2" t="s">
        <v>111</v>
      </c>
      <c r="J192" s="2" t="s">
        <v>71</v>
      </c>
      <c r="K192" s="2" t="s">
        <v>22</v>
      </c>
      <c r="L192" s="2" t="s">
        <v>1219</v>
      </c>
      <c r="M192" s="2"/>
    </row>
    <row r="193" customFormat="false" ht="23.85" hidden="false" customHeight="false" outlineLevel="0" collapsed="false">
      <c r="A193" s="2" t="s">
        <v>1220</v>
      </c>
      <c r="B193" s="3" t="s">
        <v>1221</v>
      </c>
      <c r="C193" s="2"/>
      <c r="D193" s="2" t="s">
        <v>52</v>
      </c>
      <c r="E193" s="2" t="s">
        <v>684</v>
      </c>
      <c r="F193" s="2" t="s">
        <v>1222</v>
      </c>
      <c r="G193" s="2" t="s">
        <v>1223</v>
      </c>
      <c r="H193" s="2" t="s">
        <v>452</v>
      </c>
      <c r="I193" s="2" t="s">
        <v>63</v>
      </c>
      <c r="J193" s="2" t="s">
        <v>71</v>
      </c>
      <c r="K193" s="2" t="s">
        <v>72</v>
      </c>
      <c r="L193" s="2" t="s">
        <v>1224</v>
      </c>
      <c r="M193" s="2"/>
    </row>
    <row r="194" customFormat="false" ht="23.85" hidden="false" customHeight="false" outlineLevel="0" collapsed="false">
      <c r="A194" s="2" t="s">
        <v>1225</v>
      </c>
      <c r="B194" s="3" t="s">
        <v>1226</v>
      </c>
      <c r="C194" s="2"/>
      <c r="D194" s="2" t="s">
        <v>238</v>
      </c>
      <c r="E194" s="2" t="s">
        <v>1227</v>
      </c>
      <c r="F194" s="2" t="s">
        <v>1228</v>
      </c>
      <c r="G194" s="2" t="s">
        <v>1229</v>
      </c>
      <c r="H194" s="2" t="s">
        <v>241</v>
      </c>
      <c r="I194" s="2" t="s">
        <v>48</v>
      </c>
      <c r="J194" s="2" t="s">
        <v>21</v>
      </c>
      <c r="K194" s="2" t="s">
        <v>22</v>
      </c>
      <c r="L194" s="2" t="s">
        <v>1230</v>
      </c>
      <c r="M194" s="2"/>
    </row>
    <row r="195" customFormat="false" ht="23.85" hidden="false" customHeight="false" outlineLevel="0" collapsed="false">
      <c r="A195" s="2" t="s">
        <v>1231</v>
      </c>
      <c r="B195" s="3" t="s">
        <v>1232</v>
      </c>
      <c r="C195" s="2" t="s">
        <v>1233</v>
      </c>
      <c r="D195" s="2" t="s">
        <v>82</v>
      </c>
      <c r="E195" s="2" t="s">
        <v>91</v>
      </c>
      <c r="F195" s="2" t="s">
        <v>1234</v>
      </c>
      <c r="G195" s="2" t="s">
        <v>1235</v>
      </c>
      <c r="H195" s="2" t="s">
        <v>675</v>
      </c>
      <c r="I195" s="2" t="s">
        <v>138</v>
      </c>
      <c r="J195" s="2" t="s">
        <v>86</v>
      </c>
      <c r="K195" s="2" t="s">
        <v>87</v>
      </c>
      <c r="L195" s="2" t="s">
        <v>1236</v>
      </c>
      <c r="M195" s="2"/>
    </row>
    <row r="196" customFormat="false" ht="15" hidden="false" customHeight="false" outlineLevel="0" collapsed="false">
      <c r="A196" s="2" t="s">
        <v>1237</v>
      </c>
      <c r="B196" s="3" t="s">
        <v>1238</v>
      </c>
      <c r="C196" s="2" t="s">
        <v>1239</v>
      </c>
      <c r="D196" s="2" t="s">
        <v>238</v>
      </c>
      <c r="E196" s="2" t="s">
        <v>494</v>
      </c>
      <c r="F196" s="2" t="s">
        <v>1240</v>
      </c>
      <c r="G196" s="2" t="s">
        <v>1241</v>
      </c>
      <c r="H196" s="2" t="s">
        <v>241</v>
      </c>
      <c r="I196" s="2" t="s">
        <v>94</v>
      </c>
      <c r="J196" s="2" t="s">
        <v>86</v>
      </c>
      <c r="K196" s="2" t="s">
        <v>22</v>
      </c>
      <c r="L196" s="2" t="s">
        <v>1242</v>
      </c>
      <c r="M196" s="2"/>
    </row>
    <row r="197" customFormat="false" ht="15" hidden="false" customHeight="false" outlineLevel="0" collapsed="false">
      <c r="A197" s="2" t="s">
        <v>1243</v>
      </c>
      <c r="B197" s="3" t="s">
        <v>1244</v>
      </c>
      <c r="C197" s="2" t="s">
        <v>1245</v>
      </c>
      <c r="D197" s="2" t="s">
        <v>34</v>
      </c>
      <c r="E197" s="2" t="s">
        <v>53</v>
      </c>
      <c r="F197" s="2" t="s">
        <v>1246</v>
      </c>
      <c r="G197" s="2" t="s">
        <v>1247</v>
      </c>
      <c r="H197" s="2" t="s">
        <v>19</v>
      </c>
      <c r="I197" s="2" t="s">
        <v>85</v>
      </c>
      <c r="J197" s="2" t="s">
        <v>71</v>
      </c>
      <c r="K197" s="2" t="s">
        <v>72</v>
      </c>
      <c r="L197" s="2" t="s">
        <v>1248</v>
      </c>
      <c r="M197" s="2"/>
    </row>
    <row r="198" customFormat="false" ht="15" hidden="false" customHeight="false" outlineLevel="0" collapsed="false">
      <c r="A198" s="2" t="s">
        <v>1249</v>
      </c>
      <c r="B198" s="3" t="s">
        <v>1250</v>
      </c>
      <c r="C198" s="2"/>
      <c r="D198" s="2" t="s">
        <v>52</v>
      </c>
      <c r="E198" s="2" t="s">
        <v>216</v>
      </c>
      <c r="F198" s="2" t="s">
        <v>1251</v>
      </c>
      <c r="G198" s="2" t="s">
        <v>1252</v>
      </c>
      <c r="H198" s="2" t="s">
        <v>47</v>
      </c>
      <c r="I198" s="2" t="s">
        <v>63</v>
      </c>
      <c r="J198" s="2" t="s">
        <v>21</v>
      </c>
      <c r="K198" s="2" t="s">
        <v>22</v>
      </c>
      <c r="L198" s="2" t="s">
        <v>1253</v>
      </c>
      <c r="M198" s="2"/>
    </row>
    <row r="199" customFormat="false" ht="15" hidden="false" customHeight="false" outlineLevel="0" collapsed="false">
      <c r="A199" s="2" t="s">
        <v>1254</v>
      </c>
      <c r="B199" s="3" t="s">
        <v>1255</v>
      </c>
      <c r="C199" s="2"/>
      <c r="D199" s="2" t="s">
        <v>52</v>
      </c>
      <c r="E199" s="2" t="s">
        <v>53</v>
      </c>
      <c r="F199" s="2" t="s">
        <v>1256</v>
      </c>
      <c r="G199" s="2" t="s">
        <v>1257</v>
      </c>
      <c r="H199" s="2" t="s">
        <v>47</v>
      </c>
      <c r="I199" s="2" t="s">
        <v>63</v>
      </c>
      <c r="J199" s="2" t="s">
        <v>21</v>
      </c>
      <c r="K199" s="2" t="s">
        <v>22</v>
      </c>
      <c r="L199" s="2" t="s">
        <v>1258</v>
      </c>
      <c r="M199" s="2"/>
    </row>
    <row r="200" customFormat="false" ht="23.85" hidden="false" customHeight="false" outlineLevel="0" collapsed="false">
      <c r="A200" s="2" t="s">
        <v>1259</v>
      </c>
      <c r="B200" s="3" t="s">
        <v>1260</v>
      </c>
      <c r="C200" s="2"/>
      <c r="D200" s="2" t="s">
        <v>52</v>
      </c>
      <c r="E200" s="2" t="s">
        <v>53</v>
      </c>
      <c r="F200" s="2" t="s">
        <v>1261</v>
      </c>
      <c r="G200" s="2" t="s">
        <v>1262</v>
      </c>
      <c r="H200" s="2" t="s">
        <v>47</v>
      </c>
      <c r="I200" s="2" t="s">
        <v>63</v>
      </c>
      <c r="J200" s="2" t="s">
        <v>21</v>
      </c>
      <c r="K200" s="2" t="s">
        <v>22</v>
      </c>
      <c r="L200" s="2" t="s">
        <v>1263</v>
      </c>
      <c r="M200" s="2"/>
    </row>
    <row r="201" customFormat="false" ht="15" hidden="false" customHeight="false" outlineLevel="0" collapsed="false">
      <c r="A201" s="2" t="s">
        <v>1264</v>
      </c>
      <c r="B201" s="3" t="s">
        <v>1265</v>
      </c>
      <c r="C201" s="2"/>
      <c r="D201" s="2" t="s">
        <v>223</v>
      </c>
      <c r="E201" s="2" t="s">
        <v>548</v>
      </c>
      <c r="F201" s="2" t="s">
        <v>1266</v>
      </c>
      <c r="G201" s="2" t="s">
        <v>1267</v>
      </c>
      <c r="H201" s="2" t="s">
        <v>1268</v>
      </c>
      <c r="I201" s="2" t="s">
        <v>85</v>
      </c>
      <c r="J201" s="2" t="s">
        <v>71</v>
      </c>
      <c r="K201" s="2" t="s">
        <v>72</v>
      </c>
      <c r="L201" s="2" t="s">
        <v>1269</v>
      </c>
      <c r="M201" s="2" t="s">
        <v>1270</v>
      </c>
    </row>
    <row r="202" customFormat="false" ht="23.85" hidden="false" customHeight="false" outlineLevel="0" collapsed="false">
      <c r="A202" s="2" t="s">
        <v>1271</v>
      </c>
      <c r="B202" s="3" t="s">
        <v>1272</v>
      </c>
      <c r="C202" s="2"/>
      <c r="D202" s="2" t="s">
        <v>82</v>
      </c>
      <c r="E202" s="2" t="s">
        <v>53</v>
      </c>
      <c r="F202" s="2" t="s">
        <v>1273</v>
      </c>
      <c r="G202" s="2" t="s">
        <v>1274</v>
      </c>
      <c r="H202" s="2" t="s">
        <v>47</v>
      </c>
      <c r="I202" s="2" t="s">
        <v>20</v>
      </c>
      <c r="J202" s="2" t="s">
        <v>86</v>
      </c>
      <c r="K202" s="2" t="s">
        <v>87</v>
      </c>
      <c r="L202" s="2" t="s">
        <v>1275</v>
      </c>
      <c r="M202" s="2"/>
    </row>
    <row r="203" customFormat="false" ht="23.85" hidden="false" customHeight="false" outlineLevel="0" collapsed="false">
      <c r="A203" s="2" t="s">
        <v>1276</v>
      </c>
      <c r="B203" s="3" t="s">
        <v>1277</v>
      </c>
      <c r="C203" s="2" t="s">
        <v>1278</v>
      </c>
      <c r="D203" s="2" t="s">
        <v>15</v>
      </c>
      <c r="E203" s="2" t="s">
        <v>266</v>
      </c>
      <c r="F203" s="2" t="s">
        <v>1279</v>
      </c>
      <c r="G203" s="2" t="s">
        <v>1280</v>
      </c>
      <c r="H203" s="2" t="s">
        <v>47</v>
      </c>
      <c r="I203" s="2" t="s">
        <v>85</v>
      </c>
      <c r="J203" s="2" t="s">
        <v>71</v>
      </c>
      <c r="K203" s="2" t="s">
        <v>22</v>
      </c>
      <c r="L203" s="2" t="s">
        <v>1281</v>
      </c>
      <c r="M203" s="2" t="s">
        <v>1282</v>
      </c>
    </row>
    <row r="204" customFormat="false" ht="15" hidden="false" customHeight="false" outlineLevel="0" collapsed="false">
      <c r="A204" s="2" t="s">
        <v>1283</v>
      </c>
      <c r="B204" s="3" t="s">
        <v>1284</v>
      </c>
      <c r="C204" s="2" t="s">
        <v>1285</v>
      </c>
      <c r="D204" s="2" t="s">
        <v>34</v>
      </c>
      <c r="E204" s="2" t="s">
        <v>266</v>
      </c>
      <c r="F204" s="2" t="s">
        <v>1286</v>
      </c>
      <c r="G204" s="2" t="s">
        <v>1287</v>
      </c>
      <c r="H204" s="2" t="s">
        <v>1288</v>
      </c>
      <c r="I204" s="2" t="s">
        <v>29</v>
      </c>
      <c r="J204" s="2" t="s">
        <v>71</v>
      </c>
      <c r="K204" s="2" t="s">
        <v>72</v>
      </c>
      <c r="L204" s="2" t="s">
        <v>1289</v>
      </c>
      <c r="M204" s="2" t="s">
        <v>1290</v>
      </c>
    </row>
    <row r="205" customFormat="false" ht="23.85" hidden="false" customHeight="false" outlineLevel="0" collapsed="false">
      <c r="A205" s="2" t="s">
        <v>1291</v>
      </c>
      <c r="B205" s="3" t="s">
        <v>1292</v>
      </c>
      <c r="C205" s="2" t="s">
        <v>1293</v>
      </c>
      <c r="D205" s="2" t="s">
        <v>59</v>
      </c>
      <c r="E205" s="2" t="s">
        <v>1294</v>
      </c>
      <c r="F205" s="2" t="s">
        <v>1295</v>
      </c>
      <c r="G205" s="2" t="s">
        <v>1296</v>
      </c>
      <c r="H205" s="2" t="s">
        <v>543</v>
      </c>
      <c r="I205" s="2" t="s">
        <v>63</v>
      </c>
      <c r="J205" s="2" t="s">
        <v>21</v>
      </c>
      <c r="K205" s="2" t="s">
        <v>22</v>
      </c>
      <c r="L205" s="2" t="s">
        <v>1297</v>
      </c>
      <c r="M205" s="2"/>
    </row>
    <row r="206" customFormat="false" ht="23.85" hidden="false" customHeight="false" outlineLevel="0" collapsed="false">
      <c r="A206" s="2" t="s">
        <v>1298</v>
      </c>
      <c r="B206" s="3" t="s">
        <v>1299</v>
      </c>
      <c r="C206" s="2"/>
      <c r="D206" s="2" t="s">
        <v>238</v>
      </c>
      <c r="E206" s="2" t="s">
        <v>53</v>
      </c>
      <c r="F206" s="2" t="s">
        <v>1300</v>
      </c>
      <c r="G206" s="2" t="s">
        <v>1301</v>
      </c>
      <c r="H206" s="2" t="s">
        <v>241</v>
      </c>
      <c r="I206" s="2" t="s">
        <v>94</v>
      </c>
      <c r="J206" s="2" t="s">
        <v>86</v>
      </c>
      <c r="K206" s="2" t="s">
        <v>22</v>
      </c>
      <c r="L206" s="2" t="s">
        <v>1302</v>
      </c>
      <c r="M206" s="2" t="s">
        <v>1303</v>
      </c>
    </row>
    <row r="207" customFormat="false" ht="23.85" hidden="false" customHeight="false" outlineLevel="0" collapsed="false">
      <c r="A207" s="2" t="s">
        <v>1304</v>
      </c>
      <c r="B207" s="3" t="s">
        <v>1305</v>
      </c>
      <c r="C207" s="2"/>
      <c r="D207" s="2" t="s">
        <v>34</v>
      </c>
      <c r="E207" s="2" t="s">
        <v>116</v>
      </c>
      <c r="F207" s="2" t="s">
        <v>1306</v>
      </c>
      <c r="G207" s="2" t="s">
        <v>1307</v>
      </c>
      <c r="H207" s="2" t="s">
        <v>47</v>
      </c>
      <c r="I207" s="2" t="s">
        <v>85</v>
      </c>
      <c r="J207" s="2" t="s">
        <v>71</v>
      </c>
      <c r="K207" s="2" t="s">
        <v>72</v>
      </c>
      <c r="L207" s="2" t="s">
        <v>1308</v>
      </c>
      <c r="M207" s="2"/>
    </row>
    <row r="208" customFormat="false" ht="15" hidden="false" customHeight="false" outlineLevel="0" collapsed="false">
      <c r="A208" s="2" t="s">
        <v>1309</v>
      </c>
      <c r="B208" s="3" t="s">
        <v>1310</v>
      </c>
      <c r="C208" s="2" t="s">
        <v>1311</v>
      </c>
      <c r="D208" s="2" t="s">
        <v>15</v>
      </c>
      <c r="E208" s="2" t="s">
        <v>16</v>
      </c>
      <c r="F208" s="2" t="s">
        <v>1312</v>
      </c>
      <c r="G208" s="2" t="s">
        <v>1313</v>
      </c>
      <c r="H208" s="2" t="s">
        <v>624</v>
      </c>
      <c r="I208" s="2" t="s">
        <v>138</v>
      </c>
      <c r="J208" s="2" t="s">
        <v>86</v>
      </c>
      <c r="K208" s="2" t="s">
        <v>72</v>
      </c>
      <c r="L208" s="2" t="s">
        <v>1314</v>
      </c>
      <c r="M208" s="2"/>
    </row>
    <row r="209" customFormat="false" ht="15" hidden="false" customHeight="false" outlineLevel="0" collapsed="false">
      <c r="A209" s="2" t="s">
        <v>1315</v>
      </c>
      <c r="B209" s="3" t="s">
        <v>1316</v>
      </c>
      <c r="C209" s="2" t="s">
        <v>1317</v>
      </c>
      <c r="D209" s="2" t="s">
        <v>82</v>
      </c>
      <c r="E209" s="2" t="s">
        <v>266</v>
      </c>
      <c r="F209" s="2" t="s">
        <v>1318</v>
      </c>
      <c r="G209" s="2" t="s">
        <v>1319</v>
      </c>
      <c r="H209" s="2" t="s">
        <v>47</v>
      </c>
      <c r="I209" s="2" t="s">
        <v>48</v>
      </c>
      <c r="J209" s="2" t="s">
        <v>21</v>
      </c>
      <c r="K209" s="2" t="s">
        <v>72</v>
      </c>
      <c r="L209" s="2" t="s">
        <v>763</v>
      </c>
      <c r="M209" s="2"/>
    </row>
    <row r="210" customFormat="false" ht="23.85" hidden="false" customHeight="false" outlineLevel="0" collapsed="false">
      <c r="A210" s="2" t="s">
        <v>1320</v>
      </c>
      <c r="B210" s="3" t="s">
        <v>1321</v>
      </c>
      <c r="C210" s="2" t="s">
        <v>1322</v>
      </c>
      <c r="D210" s="2" t="s">
        <v>231</v>
      </c>
      <c r="E210" s="2" t="s">
        <v>53</v>
      </c>
      <c r="F210" s="2" t="s">
        <v>1323</v>
      </c>
      <c r="G210" s="2" t="s">
        <v>1324</v>
      </c>
      <c r="H210" s="2" t="s">
        <v>306</v>
      </c>
      <c r="I210" s="2" t="s">
        <v>48</v>
      </c>
      <c r="J210" s="2" t="s">
        <v>21</v>
      </c>
      <c r="K210" s="2" t="s">
        <v>22</v>
      </c>
      <c r="L210" s="2" t="s">
        <v>1196</v>
      </c>
      <c r="M210" s="2" t="s">
        <v>1325</v>
      </c>
    </row>
    <row r="211" customFormat="false" ht="23.85" hidden="false" customHeight="false" outlineLevel="0" collapsed="false">
      <c r="A211" s="2" t="s">
        <v>1326</v>
      </c>
      <c r="B211" s="3" t="s">
        <v>1327</v>
      </c>
      <c r="C211" s="2"/>
      <c r="D211" s="2" t="s">
        <v>15</v>
      </c>
      <c r="E211" s="2" t="s">
        <v>99</v>
      </c>
      <c r="F211" s="2" t="s">
        <v>1328</v>
      </c>
      <c r="G211" s="2" t="s">
        <v>1329</v>
      </c>
      <c r="H211" s="2" t="s">
        <v>47</v>
      </c>
      <c r="I211" s="2" t="s">
        <v>138</v>
      </c>
      <c r="J211" s="2" t="s">
        <v>71</v>
      </c>
      <c r="K211" s="2" t="s">
        <v>72</v>
      </c>
      <c r="L211" s="2" t="s">
        <v>1330</v>
      </c>
      <c r="M211" s="2"/>
    </row>
    <row r="212" customFormat="false" ht="23.85" hidden="false" customHeight="false" outlineLevel="0" collapsed="false">
      <c r="A212" s="2" t="s">
        <v>1331</v>
      </c>
      <c r="B212" s="3" t="s">
        <v>1332</v>
      </c>
      <c r="C212" s="2" t="s">
        <v>1333</v>
      </c>
      <c r="D212" s="2" t="s">
        <v>52</v>
      </c>
      <c r="E212" s="2" t="s">
        <v>53</v>
      </c>
      <c r="F212" s="2" t="s">
        <v>1334</v>
      </c>
      <c r="G212" s="2" t="s">
        <v>1335</v>
      </c>
      <c r="H212" s="2" t="s">
        <v>47</v>
      </c>
      <c r="I212" s="2" t="s">
        <v>48</v>
      </c>
      <c r="J212" s="2" t="s">
        <v>21</v>
      </c>
      <c r="K212" s="2" t="s">
        <v>22</v>
      </c>
      <c r="L212" s="2" t="s">
        <v>1336</v>
      </c>
      <c r="M212" s="2" t="s">
        <v>1337</v>
      </c>
    </row>
    <row r="213" customFormat="false" ht="23.85" hidden="false" customHeight="false" outlineLevel="0" collapsed="false">
      <c r="A213" s="2" t="s">
        <v>1338</v>
      </c>
      <c r="B213" s="3" t="s">
        <v>1339</v>
      </c>
      <c r="C213" s="2" t="s">
        <v>1340</v>
      </c>
      <c r="D213" s="2" t="s">
        <v>52</v>
      </c>
      <c r="E213" s="2" t="s">
        <v>53</v>
      </c>
      <c r="F213" s="2" t="s">
        <v>1341</v>
      </c>
      <c r="G213" s="2" t="s">
        <v>1342</v>
      </c>
      <c r="H213" s="2" t="s">
        <v>47</v>
      </c>
      <c r="I213" s="2" t="s">
        <v>48</v>
      </c>
      <c r="J213" s="2" t="s">
        <v>21</v>
      </c>
      <c r="K213" s="2" t="s">
        <v>22</v>
      </c>
      <c r="L213" s="2" t="s">
        <v>1343</v>
      </c>
      <c r="M213" s="2"/>
    </row>
    <row r="214" customFormat="false" ht="15" hidden="false" customHeight="false" outlineLevel="0" collapsed="false">
      <c r="A214" s="2" t="s">
        <v>1344</v>
      </c>
      <c r="B214" s="3" t="s">
        <v>1345</v>
      </c>
      <c r="C214" s="2"/>
      <c r="D214" s="2" t="s">
        <v>15</v>
      </c>
      <c r="E214" s="2" t="s">
        <v>1346</v>
      </c>
      <c r="F214" s="2" t="s">
        <v>1347</v>
      </c>
      <c r="G214" s="2" t="s">
        <v>1348</v>
      </c>
      <c r="H214" s="2" t="s">
        <v>47</v>
      </c>
      <c r="I214" s="2" t="s">
        <v>63</v>
      </c>
      <c r="J214" s="2" t="s">
        <v>71</v>
      </c>
      <c r="K214" s="2" t="s">
        <v>22</v>
      </c>
      <c r="L214" s="2" t="s">
        <v>1349</v>
      </c>
      <c r="M214" s="2"/>
    </row>
    <row r="215" customFormat="false" ht="15" hidden="false" customHeight="false" outlineLevel="0" collapsed="false">
      <c r="A215" s="2" t="s">
        <v>1350</v>
      </c>
      <c r="B215" s="3" t="s">
        <v>1351</v>
      </c>
      <c r="C215" s="2" t="s">
        <v>1352</v>
      </c>
      <c r="D215" s="2" t="s">
        <v>82</v>
      </c>
      <c r="E215" s="2" t="s">
        <v>535</v>
      </c>
      <c r="F215" s="2" t="s">
        <v>1353</v>
      </c>
      <c r="G215" s="2" t="s">
        <v>1354</v>
      </c>
      <c r="H215" s="2" t="s">
        <v>47</v>
      </c>
      <c r="I215" s="2" t="s">
        <v>63</v>
      </c>
      <c r="J215" s="2" t="s">
        <v>21</v>
      </c>
      <c r="K215" s="2" t="s">
        <v>22</v>
      </c>
      <c r="L215" s="2" t="s">
        <v>1355</v>
      </c>
      <c r="M215" s="2"/>
    </row>
    <row r="216" customFormat="false" ht="23.85" hidden="false" customHeight="false" outlineLevel="0" collapsed="false">
      <c r="A216" s="2" t="s">
        <v>1356</v>
      </c>
      <c r="B216" s="3" t="s">
        <v>1357</v>
      </c>
      <c r="C216" s="2" t="s">
        <v>1358</v>
      </c>
      <c r="D216" s="2" t="s">
        <v>179</v>
      </c>
      <c r="E216" s="2" t="s">
        <v>208</v>
      </c>
      <c r="F216" s="2" t="s">
        <v>1359</v>
      </c>
      <c r="G216" s="2" t="s">
        <v>1360</v>
      </c>
      <c r="H216" s="2" t="s">
        <v>47</v>
      </c>
      <c r="I216" s="2" t="s">
        <v>48</v>
      </c>
      <c r="J216" s="2" t="s">
        <v>71</v>
      </c>
      <c r="K216" s="2" t="s">
        <v>72</v>
      </c>
      <c r="L216" s="2" t="s">
        <v>1361</v>
      </c>
      <c r="M216" s="2"/>
    </row>
    <row r="217" customFormat="false" ht="23.85" hidden="false" customHeight="false" outlineLevel="0" collapsed="false">
      <c r="A217" s="2" t="s">
        <v>1362</v>
      </c>
      <c r="B217" s="3" t="s">
        <v>1363</v>
      </c>
      <c r="C217" s="2"/>
      <c r="D217" s="2" t="s">
        <v>52</v>
      </c>
      <c r="E217" s="2" t="s">
        <v>691</v>
      </c>
      <c r="F217" s="2" t="s">
        <v>1364</v>
      </c>
      <c r="G217" s="2" t="s">
        <v>1365</v>
      </c>
      <c r="H217" s="2" t="s">
        <v>452</v>
      </c>
      <c r="I217" s="2" t="s">
        <v>63</v>
      </c>
      <c r="J217" s="2" t="s">
        <v>21</v>
      </c>
      <c r="K217" s="2" t="s">
        <v>22</v>
      </c>
      <c r="L217" s="2" t="s">
        <v>1366</v>
      </c>
      <c r="M217" s="2" t="s">
        <v>1367</v>
      </c>
    </row>
    <row r="218" customFormat="false" ht="23.85" hidden="false" customHeight="false" outlineLevel="0" collapsed="false">
      <c r="A218" s="2" t="s">
        <v>1368</v>
      </c>
      <c r="B218" s="3" t="s">
        <v>1369</v>
      </c>
      <c r="C218" s="2"/>
      <c r="D218" s="2" t="s">
        <v>15</v>
      </c>
      <c r="E218" s="2" t="s">
        <v>116</v>
      </c>
      <c r="F218" s="2" t="s">
        <v>1370</v>
      </c>
      <c r="G218" s="2" t="s">
        <v>1371</v>
      </c>
      <c r="H218" s="2" t="s">
        <v>47</v>
      </c>
      <c r="I218" s="2" t="s">
        <v>85</v>
      </c>
      <c r="J218" s="2" t="s">
        <v>71</v>
      </c>
      <c r="K218" s="2" t="s">
        <v>22</v>
      </c>
      <c r="L218" s="2" t="s">
        <v>1372</v>
      </c>
      <c r="M218" s="2"/>
    </row>
    <row r="219" customFormat="false" ht="15" hidden="false" customHeight="false" outlineLevel="0" collapsed="false">
      <c r="A219" s="2" t="s">
        <v>1373</v>
      </c>
      <c r="B219" s="3" t="s">
        <v>1374</v>
      </c>
      <c r="C219" s="2" t="s">
        <v>1375</v>
      </c>
      <c r="D219" s="2" t="s">
        <v>15</v>
      </c>
      <c r="E219" s="2" t="s">
        <v>16</v>
      </c>
      <c r="F219" s="2" t="s">
        <v>1376</v>
      </c>
      <c r="G219" s="2" t="s">
        <v>1377</v>
      </c>
      <c r="H219" s="2" t="s">
        <v>47</v>
      </c>
      <c r="I219" s="2" t="s">
        <v>85</v>
      </c>
      <c r="J219" s="2" t="s">
        <v>71</v>
      </c>
      <c r="K219" s="2" t="s">
        <v>72</v>
      </c>
      <c r="L219" s="2" t="s">
        <v>1378</v>
      </c>
      <c r="M219" s="2"/>
    </row>
    <row r="220" customFormat="false" ht="23.85" hidden="false" customHeight="false" outlineLevel="0" collapsed="false">
      <c r="A220" s="2" t="s">
        <v>1379</v>
      </c>
      <c r="B220" s="3" t="s">
        <v>1380</v>
      </c>
      <c r="C220" s="2"/>
      <c r="D220" s="2" t="s">
        <v>82</v>
      </c>
      <c r="E220" s="2" t="s">
        <v>1381</v>
      </c>
      <c r="F220" s="2" t="s">
        <v>1382</v>
      </c>
      <c r="G220" s="2" t="s">
        <v>1383</v>
      </c>
      <c r="H220" s="2" t="s">
        <v>47</v>
      </c>
      <c r="I220" s="2" t="s">
        <v>63</v>
      </c>
      <c r="J220" s="2" t="s">
        <v>71</v>
      </c>
      <c r="K220" s="2" t="s">
        <v>22</v>
      </c>
      <c r="L220" s="2" t="s">
        <v>1384</v>
      </c>
      <c r="M220" s="2"/>
    </row>
    <row r="221" customFormat="false" ht="23.85" hidden="false" customHeight="false" outlineLevel="0" collapsed="false">
      <c r="A221" s="2" t="s">
        <v>669</v>
      </c>
      <c r="B221" s="3" t="s">
        <v>1385</v>
      </c>
      <c r="C221" s="2" t="s">
        <v>1386</v>
      </c>
      <c r="D221" s="2" t="s">
        <v>59</v>
      </c>
      <c r="E221" s="2" t="s">
        <v>1387</v>
      </c>
      <c r="F221" s="2" t="s">
        <v>1388</v>
      </c>
      <c r="G221" s="2" t="s">
        <v>1389</v>
      </c>
      <c r="H221" s="2" t="s">
        <v>1390</v>
      </c>
      <c r="I221" s="2" t="s">
        <v>508</v>
      </c>
      <c r="J221" s="2" t="s">
        <v>71</v>
      </c>
      <c r="K221" s="2" t="s">
        <v>72</v>
      </c>
      <c r="L221" s="2" t="s">
        <v>1391</v>
      </c>
      <c r="M221" s="2" t="s">
        <v>1392</v>
      </c>
    </row>
    <row r="222" customFormat="false" ht="23.85" hidden="false" customHeight="false" outlineLevel="0" collapsed="false">
      <c r="A222" s="2" t="s">
        <v>1393</v>
      </c>
      <c r="B222" s="3" t="s">
        <v>1394</v>
      </c>
      <c r="C222" s="2" t="s">
        <v>1395</v>
      </c>
      <c r="D222" s="2" t="s">
        <v>15</v>
      </c>
      <c r="E222" s="2" t="s">
        <v>99</v>
      </c>
      <c r="F222" s="2" t="s">
        <v>1396</v>
      </c>
      <c r="G222" s="2" t="s">
        <v>1397</v>
      </c>
      <c r="H222" s="2" t="s">
        <v>1398</v>
      </c>
      <c r="I222" s="2" t="s">
        <v>119</v>
      </c>
      <c r="J222" s="2" t="s">
        <v>86</v>
      </c>
      <c r="K222" s="2" t="s">
        <v>87</v>
      </c>
      <c r="L222" s="2" t="s">
        <v>1399</v>
      </c>
      <c r="M222" s="2"/>
    </row>
    <row r="223" customFormat="false" ht="23.85" hidden="false" customHeight="false" outlineLevel="0" collapsed="false">
      <c r="A223" s="2" t="s">
        <v>1400</v>
      </c>
      <c r="B223" s="3" t="s">
        <v>1401</v>
      </c>
      <c r="C223" s="2" t="s">
        <v>1402</v>
      </c>
      <c r="D223" s="2" t="s">
        <v>34</v>
      </c>
      <c r="E223" s="2" t="s">
        <v>266</v>
      </c>
      <c r="F223" s="2" t="s">
        <v>1403</v>
      </c>
      <c r="G223" s="2" t="s">
        <v>1404</v>
      </c>
      <c r="H223" s="2" t="s">
        <v>38</v>
      </c>
      <c r="I223" s="2" t="s">
        <v>29</v>
      </c>
      <c r="J223" s="2" t="s">
        <v>71</v>
      </c>
      <c r="K223" s="2" t="s">
        <v>72</v>
      </c>
      <c r="L223" s="2" t="s">
        <v>1405</v>
      </c>
      <c r="M223" s="2"/>
    </row>
    <row r="224" customFormat="false" ht="23.85" hidden="false" customHeight="false" outlineLevel="0" collapsed="false">
      <c r="A224" s="2" t="s">
        <v>1406</v>
      </c>
      <c r="B224" s="3" t="s">
        <v>1407</v>
      </c>
      <c r="C224" s="2"/>
      <c r="D224" s="2" t="s">
        <v>43</v>
      </c>
      <c r="E224" s="2" t="s">
        <v>53</v>
      </c>
      <c r="F224" s="2" t="s">
        <v>1408</v>
      </c>
      <c r="G224" s="2" t="s">
        <v>1409</v>
      </c>
      <c r="H224" s="2"/>
      <c r="I224" s="2" t="s">
        <v>111</v>
      </c>
      <c r="J224" s="2" t="s">
        <v>86</v>
      </c>
      <c r="K224" s="2" t="s">
        <v>72</v>
      </c>
      <c r="L224" s="2" t="s">
        <v>1410</v>
      </c>
      <c r="M224" s="2"/>
    </row>
    <row r="225" customFormat="false" ht="23.85" hidden="false" customHeight="false" outlineLevel="0" collapsed="false">
      <c r="A225" s="2" t="s">
        <v>1411</v>
      </c>
      <c r="B225" s="3" t="s">
        <v>1412</v>
      </c>
      <c r="C225" s="2" t="s">
        <v>1413</v>
      </c>
      <c r="D225" s="2" t="s">
        <v>15</v>
      </c>
      <c r="E225" s="2" t="s">
        <v>16</v>
      </c>
      <c r="F225" s="2" t="s">
        <v>1414</v>
      </c>
      <c r="G225" s="2" t="s">
        <v>1415</v>
      </c>
      <c r="H225" s="2" t="s">
        <v>866</v>
      </c>
      <c r="I225" s="2" t="s">
        <v>508</v>
      </c>
      <c r="J225" s="2" t="s">
        <v>21</v>
      </c>
      <c r="K225" s="2" t="s">
        <v>72</v>
      </c>
      <c r="L225" s="2" t="s">
        <v>1416</v>
      </c>
      <c r="M225" s="2"/>
    </row>
    <row r="226" customFormat="false" ht="23.85" hidden="false" customHeight="false" outlineLevel="0" collapsed="false">
      <c r="A226" s="2" t="s">
        <v>1417</v>
      </c>
      <c r="B226" s="3" t="s">
        <v>1418</v>
      </c>
      <c r="C226" s="2"/>
      <c r="D226" s="2" t="s">
        <v>15</v>
      </c>
      <c r="E226" s="2" t="s">
        <v>99</v>
      </c>
      <c r="F226" s="2" t="s">
        <v>1419</v>
      </c>
      <c r="G226" s="2" t="s">
        <v>1420</v>
      </c>
      <c r="H226" s="2" t="s">
        <v>372</v>
      </c>
      <c r="I226" s="2" t="s">
        <v>119</v>
      </c>
      <c r="J226" s="2" t="s">
        <v>86</v>
      </c>
      <c r="K226" s="2" t="s">
        <v>72</v>
      </c>
      <c r="L226" s="2" t="s">
        <v>1421</v>
      </c>
      <c r="M226" s="2"/>
    </row>
    <row r="227" customFormat="false" ht="23.85" hidden="false" customHeight="false" outlineLevel="0" collapsed="false">
      <c r="A227" s="2" t="s">
        <v>1422</v>
      </c>
      <c r="B227" s="3" t="s">
        <v>1423</v>
      </c>
      <c r="C227" s="2" t="s">
        <v>1424</v>
      </c>
      <c r="D227" s="2" t="s">
        <v>238</v>
      </c>
      <c r="E227" s="2" t="s">
        <v>99</v>
      </c>
      <c r="F227" s="2" t="s">
        <v>1425</v>
      </c>
      <c r="G227" s="2" t="s">
        <v>1426</v>
      </c>
      <c r="H227" s="2" t="s">
        <v>47</v>
      </c>
      <c r="I227" s="2" t="s">
        <v>119</v>
      </c>
      <c r="J227" s="2" t="s">
        <v>21</v>
      </c>
      <c r="K227" s="2" t="s">
        <v>22</v>
      </c>
      <c r="L227" s="2" t="s">
        <v>1427</v>
      </c>
      <c r="M227" s="2"/>
    </row>
    <row r="228" customFormat="false" ht="23.85" hidden="false" customHeight="false" outlineLevel="0" collapsed="false">
      <c r="A228" s="2" t="s">
        <v>1428</v>
      </c>
      <c r="B228" s="3" t="s">
        <v>1429</v>
      </c>
      <c r="C228" s="2" t="s">
        <v>1430</v>
      </c>
      <c r="D228" s="2" t="s">
        <v>179</v>
      </c>
      <c r="E228" s="2" t="s">
        <v>53</v>
      </c>
      <c r="F228" s="2" t="s">
        <v>1431</v>
      </c>
      <c r="G228" s="2" t="s">
        <v>1432</v>
      </c>
      <c r="H228" s="2" t="s">
        <v>47</v>
      </c>
      <c r="I228" s="2" t="s">
        <v>182</v>
      </c>
      <c r="J228" s="2" t="s">
        <v>86</v>
      </c>
      <c r="K228" s="2" t="s">
        <v>87</v>
      </c>
      <c r="L228" s="2" t="s">
        <v>1433</v>
      </c>
      <c r="M228" s="2"/>
    </row>
    <row r="229" customFormat="false" ht="15" hidden="false" customHeight="false" outlineLevel="0" collapsed="false">
      <c r="A229" s="2" t="s">
        <v>1434</v>
      </c>
      <c r="B229" s="3" t="s">
        <v>1435</v>
      </c>
      <c r="C229" s="2"/>
      <c r="D229" s="2" t="s">
        <v>43</v>
      </c>
      <c r="E229" s="2" t="s">
        <v>53</v>
      </c>
      <c r="F229" s="2" t="s">
        <v>1436</v>
      </c>
      <c r="G229" s="2" t="s">
        <v>1437</v>
      </c>
      <c r="H229" s="2" t="s">
        <v>28</v>
      </c>
      <c r="I229" s="2" t="s">
        <v>151</v>
      </c>
      <c r="J229" s="2" t="s">
        <v>71</v>
      </c>
      <c r="K229" s="2" t="s">
        <v>22</v>
      </c>
      <c r="L229" s="2" t="s">
        <v>1438</v>
      </c>
      <c r="M229" s="2"/>
    </row>
    <row r="230" customFormat="false" ht="23.85" hidden="false" customHeight="false" outlineLevel="0" collapsed="false">
      <c r="A230" s="2" t="s">
        <v>1439</v>
      </c>
      <c r="B230" s="3" t="s">
        <v>1440</v>
      </c>
      <c r="C230" s="2"/>
      <c r="D230" s="2" t="s">
        <v>82</v>
      </c>
      <c r="E230" s="2" t="s">
        <v>208</v>
      </c>
      <c r="F230" s="2" t="s">
        <v>1441</v>
      </c>
      <c r="G230" s="2" t="s">
        <v>1442</v>
      </c>
      <c r="H230" s="2" t="s">
        <v>47</v>
      </c>
      <c r="I230" s="2" t="s">
        <v>78</v>
      </c>
      <c r="J230" s="2" t="s">
        <v>71</v>
      </c>
      <c r="K230" s="2" t="s">
        <v>72</v>
      </c>
      <c r="L230" s="2" t="s">
        <v>1443</v>
      </c>
      <c r="M230" s="2"/>
    </row>
    <row r="231" customFormat="false" ht="15" hidden="false" customHeight="false" outlineLevel="0" collapsed="false">
      <c r="A231" s="2" t="s">
        <v>1444</v>
      </c>
      <c r="B231" s="3" t="s">
        <v>1445</v>
      </c>
      <c r="C231" s="2" t="s">
        <v>1446</v>
      </c>
      <c r="D231" s="2" t="s">
        <v>59</v>
      </c>
      <c r="E231" s="2" t="s">
        <v>53</v>
      </c>
      <c r="F231" s="2" t="s">
        <v>1447</v>
      </c>
      <c r="G231" s="2" t="s">
        <v>1448</v>
      </c>
      <c r="H231" s="2" t="s">
        <v>543</v>
      </c>
      <c r="I231" s="2" t="s">
        <v>29</v>
      </c>
      <c r="J231" s="2" t="s">
        <v>86</v>
      </c>
      <c r="K231" s="2" t="s">
        <v>22</v>
      </c>
      <c r="L231" s="2" t="s">
        <v>1449</v>
      </c>
      <c r="M231" s="2"/>
    </row>
    <row r="232" customFormat="false" ht="23.85" hidden="false" customHeight="false" outlineLevel="0" collapsed="false">
      <c r="A232" s="2" t="s">
        <v>1450</v>
      </c>
      <c r="B232" s="3" t="s">
        <v>1451</v>
      </c>
      <c r="C232" s="2" t="s">
        <v>1452</v>
      </c>
      <c r="D232" s="2" t="s">
        <v>82</v>
      </c>
      <c r="E232" s="2" t="s">
        <v>494</v>
      </c>
      <c r="F232" s="2" t="s">
        <v>1453</v>
      </c>
      <c r="G232" s="2" t="s">
        <v>1454</v>
      </c>
      <c r="H232" s="2" t="s">
        <v>675</v>
      </c>
      <c r="I232" s="2" t="s">
        <v>29</v>
      </c>
      <c r="J232" s="2" t="s">
        <v>21</v>
      </c>
      <c r="K232" s="2" t="s">
        <v>22</v>
      </c>
      <c r="L232" s="2" t="s">
        <v>1167</v>
      </c>
      <c r="M232" s="2" t="s">
        <v>1455</v>
      </c>
    </row>
    <row r="233" customFormat="false" ht="15" hidden="false" customHeight="false" outlineLevel="0" collapsed="false">
      <c r="A233" s="2" t="s">
        <v>1456</v>
      </c>
      <c r="B233" s="3" t="s">
        <v>1457</v>
      </c>
      <c r="C233" s="2"/>
      <c r="D233" s="2" t="s">
        <v>231</v>
      </c>
      <c r="E233" s="2" t="s">
        <v>53</v>
      </c>
      <c r="F233" s="2" t="s">
        <v>1458</v>
      </c>
      <c r="G233" s="2" t="s">
        <v>1459</v>
      </c>
      <c r="H233" s="2"/>
      <c r="I233" s="2" t="s">
        <v>48</v>
      </c>
      <c r="J233" s="2" t="s">
        <v>21</v>
      </c>
      <c r="K233" s="2" t="s">
        <v>22</v>
      </c>
      <c r="L233" s="2" t="s">
        <v>1460</v>
      </c>
      <c r="M233" s="2"/>
    </row>
    <row r="234" customFormat="false" ht="23.85" hidden="false" customHeight="false" outlineLevel="0" collapsed="false">
      <c r="A234" s="2" t="s">
        <v>1461</v>
      </c>
      <c r="B234" s="3" t="s">
        <v>1462</v>
      </c>
      <c r="C234" s="2" t="s">
        <v>1463</v>
      </c>
      <c r="D234" s="2" t="s">
        <v>43</v>
      </c>
      <c r="E234" s="2" t="s">
        <v>99</v>
      </c>
      <c r="F234" s="2" t="s">
        <v>1464</v>
      </c>
      <c r="G234" s="2" t="s">
        <v>1465</v>
      </c>
      <c r="H234" s="2" t="s">
        <v>1006</v>
      </c>
      <c r="I234" s="2" t="s">
        <v>151</v>
      </c>
      <c r="J234" s="2" t="s">
        <v>71</v>
      </c>
      <c r="K234" s="2" t="s">
        <v>72</v>
      </c>
      <c r="L234" s="2" t="s">
        <v>1466</v>
      </c>
      <c r="M234" s="2"/>
    </row>
    <row r="235" customFormat="false" ht="15" hidden="false" customHeight="false" outlineLevel="0" collapsed="false">
      <c r="A235" s="2" t="s">
        <v>1467</v>
      </c>
      <c r="B235" s="3" t="s">
        <v>1468</v>
      </c>
      <c r="C235" s="2"/>
      <c r="D235" s="2" t="s">
        <v>106</v>
      </c>
      <c r="E235" s="2" t="s">
        <v>53</v>
      </c>
      <c r="F235" s="2" t="s">
        <v>1469</v>
      </c>
      <c r="G235" s="2" t="s">
        <v>1470</v>
      </c>
      <c r="H235" s="2" t="s">
        <v>110</v>
      </c>
      <c r="I235" s="2" t="s">
        <v>111</v>
      </c>
      <c r="J235" s="2" t="s">
        <v>21</v>
      </c>
      <c r="K235" s="2" t="s">
        <v>22</v>
      </c>
      <c r="L235" s="2" t="s">
        <v>1471</v>
      </c>
      <c r="M235" s="2"/>
    </row>
    <row r="236" customFormat="false" ht="23.85" hidden="false" customHeight="false" outlineLevel="0" collapsed="false">
      <c r="A236" s="2" t="s">
        <v>950</v>
      </c>
      <c r="B236" s="3" t="s">
        <v>1472</v>
      </c>
      <c r="C236" s="2"/>
      <c r="D236" s="2" t="s">
        <v>238</v>
      </c>
      <c r="E236" s="2" t="s">
        <v>251</v>
      </c>
      <c r="F236" s="2" t="s">
        <v>1473</v>
      </c>
      <c r="G236" s="2" t="s">
        <v>1474</v>
      </c>
      <c r="H236" s="2" t="s">
        <v>241</v>
      </c>
      <c r="I236" s="2" t="s">
        <v>256</v>
      </c>
      <c r="J236" s="2" t="s">
        <v>21</v>
      </c>
      <c r="K236" s="2" t="s">
        <v>22</v>
      </c>
      <c r="L236" s="2" t="s">
        <v>1475</v>
      </c>
      <c r="M236" s="2" t="s">
        <v>1476</v>
      </c>
    </row>
    <row r="237" customFormat="false" ht="23.85" hidden="false" customHeight="false" outlineLevel="0" collapsed="false">
      <c r="A237" s="2" t="s">
        <v>1477</v>
      </c>
      <c r="B237" s="3" t="s">
        <v>1478</v>
      </c>
      <c r="C237" s="2" t="s">
        <v>1479</v>
      </c>
      <c r="D237" s="2" t="s">
        <v>15</v>
      </c>
      <c r="E237" s="2" t="s">
        <v>1480</v>
      </c>
      <c r="F237" s="2" t="s">
        <v>1481</v>
      </c>
      <c r="G237" s="2" t="s">
        <v>1482</v>
      </c>
      <c r="H237" s="2" t="s">
        <v>47</v>
      </c>
      <c r="I237" s="2" t="s">
        <v>94</v>
      </c>
      <c r="J237" s="2" t="s">
        <v>71</v>
      </c>
      <c r="K237" s="2" t="s">
        <v>22</v>
      </c>
      <c r="L237" s="2" t="s">
        <v>1483</v>
      </c>
      <c r="M237" s="2" t="s">
        <v>1484</v>
      </c>
    </row>
    <row r="238" customFormat="false" ht="23.85" hidden="false" customHeight="false" outlineLevel="0" collapsed="false">
      <c r="A238" s="2" t="s">
        <v>1485</v>
      </c>
      <c r="B238" s="3" t="s">
        <v>1486</v>
      </c>
      <c r="C238" s="2" t="s">
        <v>1487</v>
      </c>
      <c r="D238" s="2" t="s">
        <v>34</v>
      </c>
      <c r="E238" s="2" t="s">
        <v>35</v>
      </c>
      <c r="F238" s="2" t="s">
        <v>1488</v>
      </c>
      <c r="G238" s="2" t="s">
        <v>1489</v>
      </c>
      <c r="H238" s="2" t="s">
        <v>1288</v>
      </c>
      <c r="I238" s="2" t="s">
        <v>182</v>
      </c>
      <c r="J238" s="2" t="s">
        <v>71</v>
      </c>
      <c r="K238" s="2" t="s">
        <v>72</v>
      </c>
      <c r="L238" s="2" t="s">
        <v>1490</v>
      </c>
      <c r="M238" s="2" t="s">
        <v>1491</v>
      </c>
    </row>
    <row r="239" customFormat="false" ht="23.85" hidden="false" customHeight="false" outlineLevel="0" collapsed="false">
      <c r="A239" s="2" t="s">
        <v>1492</v>
      </c>
      <c r="B239" s="3" t="s">
        <v>1493</v>
      </c>
      <c r="C239" s="2" t="s">
        <v>1494</v>
      </c>
      <c r="D239" s="2" t="s">
        <v>15</v>
      </c>
      <c r="E239" s="2" t="s">
        <v>1495</v>
      </c>
      <c r="F239" s="2" t="s">
        <v>1496</v>
      </c>
      <c r="G239" s="2" t="s">
        <v>1497</v>
      </c>
      <c r="H239" s="2" t="s">
        <v>47</v>
      </c>
      <c r="I239" s="2" t="s">
        <v>48</v>
      </c>
      <c r="J239" s="2" t="s">
        <v>71</v>
      </c>
      <c r="K239" s="2" t="s">
        <v>72</v>
      </c>
      <c r="L239" s="2" t="s">
        <v>1498</v>
      </c>
      <c r="M239" s="2"/>
    </row>
    <row r="240" customFormat="false" ht="23.85" hidden="false" customHeight="false" outlineLevel="0" collapsed="false">
      <c r="A240" s="2" t="s">
        <v>1499</v>
      </c>
      <c r="B240" s="3" t="s">
        <v>1500</v>
      </c>
      <c r="C240" s="2" t="s">
        <v>1501</v>
      </c>
      <c r="D240" s="2" t="s">
        <v>15</v>
      </c>
      <c r="E240" s="2" t="s">
        <v>99</v>
      </c>
      <c r="F240" s="2" t="s">
        <v>1502</v>
      </c>
      <c r="G240" s="2" t="s">
        <v>1503</v>
      </c>
      <c r="H240" s="2" t="s">
        <v>47</v>
      </c>
      <c r="I240" s="2" t="s">
        <v>94</v>
      </c>
      <c r="J240" s="2" t="s">
        <v>71</v>
      </c>
      <c r="K240" s="2" t="s">
        <v>72</v>
      </c>
      <c r="L240" s="2" t="s">
        <v>1504</v>
      </c>
      <c r="M240" s="2" t="s">
        <v>1505</v>
      </c>
    </row>
    <row r="241" customFormat="false" ht="23.85" hidden="false" customHeight="false" outlineLevel="0" collapsed="false">
      <c r="A241" s="2" t="s">
        <v>1506</v>
      </c>
      <c r="B241" s="3" t="s">
        <v>1507</v>
      </c>
      <c r="C241" s="2" t="s">
        <v>1508</v>
      </c>
      <c r="D241" s="2" t="s">
        <v>15</v>
      </c>
      <c r="E241" s="2" t="s">
        <v>188</v>
      </c>
      <c r="F241" s="2" t="s">
        <v>1509</v>
      </c>
      <c r="G241" s="2" t="s">
        <v>1510</v>
      </c>
      <c r="H241" s="2" t="s">
        <v>47</v>
      </c>
      <c r="I241" s="2" t="s">
        <v>20</v>
      </c>
      <c r="J241" s="2" t="s">
        <v>71</v>
      </c>
      <c r="K241" s="2" t="s">
        <v>72</v>
      </c>
      <c r="L241" s="2" t="s">
        <v>1511</v>
      </c>
      <c r="M241" s="2"/>
    </row>
    <row r="242" customFormat="false" ht="15" hidden="false" customHeight="false" outlineLevel="0" collapsed="false">
      <c r="A242" s="2" t="s">
        <v>1512</v>
      </c>
      <c r="B242" s="3" t="s">
        <v>1513</v>
      </c>
      <c r="C242" s="2"/>
      <c r="D242" s="2" t="s">
        <v>15</v>
      </c>
      <c r="E242" s="2" t="s">
        <v>188</v>
      </c>
      <c r="F242" s="2" t="s">
        <v>1514</v>
      </c>
      <c r="G242" s="2" t="s">
        <v>1515</v>
      </c>
      <c r="H242" s="2" t="s">
        <v>47</v>
      </c>
      <c r="I242" s="2" t="s">
        <v>63</v>
      </c>
      <c r="J242" s="2" t="s">
        <v>71</v>
      </c>
      <c r="K242" s="2" t="s">
        <v>22</v>
      </c>
      <c r="L242" s="2" t="s">
        <v>1506</v>
      </c>
      <c r="M242" s="2"/>
    </row>
    <row r="243" customFormat="false" ht="15" hidden="false" customHeight="false" outlineLevel="0" collapsed="false">
      <c r="A243" s="2" t="s">
        <v>1516</v>
      </c>
      <c r="B243" s="3" t="s">
        <v>1517</v>
      </c>
      <c r="C243" s="2" t="s">
        <v>1518</v>
      </c>
      <c r="D243" s="2" t="s">
        <v>43</v>
      </c>
      <c r="E243" s="2" t="s">
        <v>53</v>
      </c>
      <c r="F243" s="2" t="s">
        <v>1519</v>
      </c>
      <c r="G243" s="2" t="s">
        <v>1520</v>
      </c>
      <c r="H243" s="2"/>
      <c r="I243" s="2" t="s">
        <v>111</v>
      </c>
      <c r="J243" s="2" t="s">
        <v>86</v>
      </c>
      <c r="K243" s="2" t="s">
        <v>72</v>
      </c>
      <c r="L243" s="2" t="s">
        <v>1521</v>
      </c>
      <c r="M243" s="2"/>
    </row>
    <row r="244" customFormat="false" ht="23.85" hidden="false" customHeight="false" outlineLevel="0" collapsed="false">
      <c r="A244" s="2" t="s">
        <v>1522</v>
      </c>
      <c r="B244" s="3" t="s">
        <v>1523</v>
      </c>
      <c r="C244" s="2"/>
      <c r="D244" s="2" t="s">
        <v>251</v>
      </c>
      <c r="E244" s="2" t="s">
        <v>251</v>
      </c>
      <c r="F244" s="2" t="s">
        <v>1524</v>
      </c>
      <c r="G244" s="2" t="s">
        <v>1525</v>
      </c>
      <c r="H244" s="2" t="s">
        <v>255</v>
      </c>
      <c r="I244" s="2" t="s">
        <v>63</v>
      </c>
      <c r="J244" s="2" t="s">
        <v>21</v>
      </c>
      <c r="K244" s="2" t="s">
        <v>22</v>
      </c>
      <c r="L244" s="2" t="s">
        <v>1526</v>
      </c>
      <c r="M244" s="2"/>
    </row>
    <row r="245" customFormat="false" ht="23.85" hidden="false" customHeight="false" outlineLevel="0" collapsed="false">
      <c r="A245" s="2" t="s">
        <v>724</v>
      </c>
      <c r="B245" s="3" t="s">
        <v>1527</v>
      </c>
      <c r="C245" s="2" t="s">
        <v>1528</v>
      </c>
      <c r="D245" s="2" t="s">
        <v>15</v>
      </c>
      <c r="E245" s="2" t="s">
        <v>591</v>
      </c>
      <c r="F245" s="2" t="s">
        <v>1529</v>
      </c>
      <c r="G245" s="2" t="s">
        <v>1530</v>
      </c>
      <c r="H245" s="2" t="s">
        <v>47</v>
      </c>
      <c r="I245" s="2" t="s">
        <v>182</v>
      </c>
      <c r="J245" s="2" t="s">
        <v>71</v>
      </c>
      <c r="K245" s="2" t="s">
        <v>87</v>
      </c>
      <c r="L245" s="2" t="s">
        <v>1531</v>
      </c>
      <c r="M245" s="2" t="s">
        <v>1532</v>
      </c>
    </row>
    <row r="246" customFormat="false" ht="23.85" hidden="false" customHeight="false" outlineLevel="0" collapsed="false">
      <c r="A246" s="2" t="s">
        <v>1533</v>
      </c>
      <c r="B246" s="3" t="s">
        <v>1534</v>
      </c>
      <c r="C246" s="2"/>
      <c r="D246" s="2" t="s">
        <v>52</v>
      </c>
      <c r="E246" s="2" t="s">
        <v>1535</v>
      </c>
      <c r="F246" s="2" t="s">
        <v>1536</v>
      </c>
      <c r="G246" s="2" t="s">
        <v>1537</v>
      </c>
      <c r="H246" s="2" t="s">
        <v>1538</v>
      </c>
      <c r="I246" s="2" t="s">
        <v>85</v>
      </c>
      <c r="J246" s="2" t="s">
        <v>71</v>
      </c>
      <c r="K246" s="2" t="s">
        <v>87</v>
      </c>
      <c r="L246" s="2" t="s">
        <v>1539</v>
      </c>
      <c r="M246" s="2"/>
    </row>
    <row r="247" customFormat="false" ht="15" hidden="false" customHeight="false" outlineLevel="0" collapsed="false">
      <c r="A247" s="2" t="s">
        <v>1540</v>
      </c>
      <c r="B247" s="3" t="s">
        <v>1541</v>
      </c>
      <c r="C247" s="2"/>
      <c r="D247" s="2" t="s">
        <v>238</v>
      </c>
      <c r="E247" s="2" t="s">
        <v>53</v>
      </c>
      <c r="F247" s="2" t="s">
        <v>1542</v>
      </c>
      <c r="G247" s="2" t="s">
        <v>1543</v>
      </c>
      <c r="H247" s="2" t="s">
        <v>241</v>
      </c>
      <c r="I247" s="2" t="s">
        <v>111</v>
      </c>
      <c r="J247" s="2" t="s">
        <v>21</v>
      </c>
      <c r="K247" s="2" t="s">
        <v>22</v>
      </c>
      <c r="L247" s="2" t="s">
        <v>1544</v>
      </c>
      <c r="M247" s="2"/>
    </row>
    <row r="248" customFormat="false" ht="15" hidden="false" customHeight="false" outlineLevel="0" collapsed="false">
      <c r="A248" s="2" t="s">
        <v>1545</v>
      </c>
      <c r="B248" s="3" t="s">
        <v>1546</v>
      </c>
      <c r="C248" s="2"/>
      <c r="D248" s="2" t="s">
        <v>52</v>
      </c>
      <c r="E248" s="2" t="s">
        <v>53</v>
      </c>
      <c r="F248" s="2" t="s">
        <v>1547</v>
      </c>
      <c r="G248" s="2" t="s">
        <v>1548</v>
      </c>
      <c r="H248" s="2" t="s">
        <v>28</v>
      </c>
      <c r="I248" s="2" t="s">
        <v>29</v>
      </c>
      <c r="J248" s="2" t="s">
        <v>71</v>
      </c>
      <c r="K248" s="2" t="s">
        <v>22</v>
      </c>
      <c r="L248" s="2"/>
      <c r="M248" s="2"/>
    </row>
    <row r="249" customFormat="false" ht="23.85" hidden="false" customHeight="false" outlineLevel="0" collapsed="false">
      <c r="A249" s="2" t="s">
        <v>1549</v>
      </c>
      <c r="B249" s="3" t="s">
        <v>1550</v>
      </c>
      <c r="C249" s="2" t="s">
        <v>1551</v>
      </c>
      <c r="D249" s="2" t="s">
        <v>15</v>
      </c>
      <c r="E249" s="2" t="s">
        <v>16</v>
      </c>
      <c r="F249" s="2" t="s">
        <v>1552</v>
      </c>
      <c r="G249" s="2" t="s">
        <v>1553</v>
      </c>
      <c r="H249" s="2" t="s">
        <v>329</v>
      </c>
      <c r="I249" s="2" t="s">
        <v>182</v>
      </c>
      <c r="J249" s="2" t="s">
        <v>86</v>
      </c>
      <c r="K249" s="2" t="s">
        <v>87</v>
      </c>
      <c r="L249" s="2" t="s">
        <v>1554</v>
      </c>
      <c r="M249" s="2"/>
    </row>
    <row r="250" customFormat="false" ht="23.85" hidden="false" customHeight="false" outlineLevel="0" collapsed="false">
      <c r="A250" s="2" t="s">
        <v>1555</v>
      </c>
      <c r="B250" s="3" t="s">
        <v>1556</v>
      </c>
      <c r="C250" s="2" t="s">
        <v>1557</v>
      </c>
      <c r="D250" s="2" t="s">
        <v>82</v>
      </c>
      <c r="E250" s="2" t="s">
        <v>53</v>
      </c>
      <c r="F250" s="2" t="s">
        <v>1558</v>
      </c>
      <c r="G250" s="2" t="s">
        <v>1559</v>
      </c>
      <c r="H250" s="2" t="s">
        <v>675</v>
      </c>
      <c r="I250" s="2" t="s">
        <v>182</v>
      </c>
      <c r="J250" s="2" t="s">
        <v>86</v>
      </c>
      <c r="K250" s="2" t="s">
        <v>87</v>
      </c>
      <c r="L250" s="2" t="s">
        <v>1560</v>
      </c>
      <c r="M250" s="2"/>
    </row>
    <row r="251" customFormat="false" ht="23.85" hidden="false" customHeight="false" outlineLevel="0" collapsed="false">
      <c r="A251" s="2" t="s">
        <v>1561</v>
      </c>
      <c r="B251" s="3" t="s">
        <v>1562</v>
      </c>
      <c r="C251" s="2" t="s">
        <v>1563</v>
      </c>
      <c r="D251" s="2" t="s">
        <v>34</v>
      </c>
      <c r="E251" s="2" t="s">
        <v>53</v>
      </c>
      <c r="F251" s="2" t="s">
        <v>1564</v>
      </c>
      <c r="G251" s="2" t="s">
        <v>1565</v>
      </c>
      <c r="H251" s="2" t="s">
        <v>1566</v>
      </c>
      <c r="I251" s="2" t="s">
        <v>508</v>
      </c>
      <c r="J251" s="2" t="s">
        <v>86</v>
      </c>
      <c r="K251" s="2" t="s">
        <v>72</v>
      </c>
      <c r="L251" s="2" t="s">
        <v>1567</v>
      </c>
      <c r="M251" s="2" t="s">
        <v>1568</v>
      </c>
    </row>
    <row r="252" customFormat="false" ht="23.85" hidden="false" customHeight="false" outlineLevel="0" collapsed="false">
      <c r="A252" s="2" t="s">
        <v>1569</v>
      </c>
      <c r="B252" s="3" t="s">
        <v>1570</v>
      </c>
      <c r="C252" s="2"/>
      <c r="D252" s="2" t="s">
        <v>15</v>
      </c>
      <c r="E252" s="2" t="s">
        <v>16</v>
      </c>
      <c r="F252" s="2" t="s">
        <v>1571</v>
      </c>
      <c r="G252" s="2" t="s">
        <v>1572</v>
      </c>
      <c r="H252" s="2" t="s">
        <v>47</v>
      </c>
      <c r="I252" s="2" t="s">
        <v>85</v>
      </c>
      <c r="J252" s="2" t="s">
        <v>71</v>
      </c>
      <c r="K252" s="2" t="s">
        <v>22</v>
      </c>
      <c r="L252" s="2" t="s">
        <v>1573</v>
      </c>
      <c r="M252" s="2"/>
    </row>
    <row r="253" customFormat="false" ht="35.05" hidden="false" customHeight="false" outlineLevel="0" collapsed="false">
      <c r="A253" s="2" t="s">
        <v>1574</v>
      </c>
      <c r="B253" s="3" t="s">
        <v>1575</v>
      </c>
      <c r="C253" s="2"/>
      <c r="D253" s="2" t="s">
        <v>179</v>
      </c>
      <c r="E253" s="2" t="s">
        <v>53</v>
      </c>
      <c r="F253" s="2" t="s">
        <v>1576</v>
      </c>
      <c r="G253" s="2" t="s">
        <v>1577</v>
      </c>
      <c r="H253" s="2" t="s">
        <v>1578</v>
      </c>
      <c r="I253" s="2" t="s">
        <v>182</v>
      </c>
      <c r="J253" s="2" t="s">
        <v>86</v>
      </c>
      <c r="K253" s="2" t="s">
        <v>87</v>
      </c>
      <c r="L253" s="2" t="s">
        <v>1579</v>
      </c>
      <c r="M253" s="2" t="s">
        <v>1580</v>
      </c>
    </row>
    <row r="254" customFormat="false" ht="23.85" hidden="false" customHeight="false" outlineLevel="0" collapsed="false">
      <c r="A254" s="2" t="s">
        <v>1581</v>
      </c>
      <c r="B254" s="3" t="s">
        <v>1582</v>
      </c>
      <c r="C254" s="2" t="s">
        <v>1583</v>
      </c>
      <c r="D254" s="2" t="s">
        <v>82</v>
      </c>
      <c r="E254" s="2" t="s">
        <v>1381</v>
      </c>
      <c r="F254" s="2" t="s">
        <v>1584</v>
      </c>
      <c r="G254" s="2" t="s">
        <v>1585</v>
      </c>
      <c r="H254" s="2" t="s">
        <v>47</v>
      </c>
      <c r="I254" s="2" t="s">
        <v>48</v>
      </c>
      <c r="J254" s="2" t="s">
        <v>71</v>
      </c>
      <c r="K254" s="2" t="s">
        <v>72</v>
      </c>
      <c r="L254" s="2" t="s">
        <v>1586</v>
      </c>
      <c r="M254" s="2"/>
    </row>
    <row r="255" customFormat="false" ht="15" hidden="false" customHeight="false" outlineLevel="0" collapsed="false">
      <c r="A255" s="2" t="s">
        <v>1587</v>
      </c>
      <c r="B255" s="3" t="s">
        <v>1588</v>
      </c>
      <c r="C255" s="2" t="s">
        <v>1589</v>
      </c>
      <c r="D255" s="2" t="s">
        <v>82</v>
      </c>
      <c r="E255" s="2" t="s">
        <v>535</v>
      </c>
      <c r="F255" s="2" t="s">
        <v>1590</v>
      </c>
      <c r="G255" s="2" t="s">
        <v>1591</v>
      </c>
      <c r="H255" s="2" t="s">
        <v>47</v>
      </c>
      <c r="I255" s="2" t="s">
        <v>63</v>
      </c>
      <c r="J255" s="2" t="s">
        <v>21</v>
      </c>
      <c r="K255" s="2" t="s">
        <v>22</v>
      </c>
      <c r="L255" s="2" t="s">
        <v>1592</v>
      </c>
      <c r="M255" s="2"/>
    </row>
    <row r="256" customFormat="false" ht="23.85" hidden="false" customHeight="false" outlineLevel="0" collapsed="false">
      <c r="A256" s="2" t="s">
        <v>1593</v>
      </c>
      <c r="B256" s="3" t="s">
        <v>1594</v>
      </c>
      <c r="C256" s="2" t="s">
        <v>1595</v>
      </c>
      <c r="D256" s="2" t="s">
        <v>82</v>
      </c>
      <c r="E256" s="2" t="s">
        <v>591</v>
      </c>
      <c r="F256" s="2" t="s">
        <v>1596</v>
      </c>
      <c r="G256" s="2" t="s">
        <v>1597</v>
      </c>
      <c r="H256" s="2" t="s">
        <v>47</v>
      </c>
      <c r="I256" s="2" t="s">
        <v>48</v>
      </c>
      <c r="J256" s="2" t="s">
        <v>21</v>
      </c>
      <c r="K256" s="2" t="s">
        <v>72</v>
      </c>
      <c r="L256" s="2" t="s">
        <v>1598</v>
      </c>
      <c r="M256" s="2" t="s">
        <v>1599</v>
      </c>
    </row>
    <row r="257" customFormat="false" ht="15" hidden="false" customHeight="false" outlineLevel="0" collapsed="false">
      <c r="A257" s="2" t="s">
        <v>1600</v>
      </c>
      <c r="B257" s="3" t="s">
        <v>1601</v>
      </c>
      <c r="C257" s="2" t="s">
        <v>1602</v>
      </c>
      <c r="D257" s="2" t="s">
        <v>106</v>
      </c>
      <c r="E257" s="2" t="s">
        <v>53</v>
      </c>
      <c r="F257" s="2" t="s">
        <v>1603</v>
      </c>
      <c r="G257" s="2" t="s">
        <v>1604</v>
      </c>
      <c r="H257" s="2" t="s">
        <v>110</v>
      </c>
      <c r="I257" s="2" t="s">
        <v>111</v>
      </c>
      <c r="J257" s="2" t="s">
        <v>21</v>
      </c>
      <c r="K257" s="2" t="s">
        <v>22</v>
      </c>
      <c r="L257" s="2" t="s">
        <v>1605</v>
      </c>
      <c r="M257" s="2"/>
    </row>
    <row r="258" customFormat="false" ht="15" hidden="false" customHeight="false" outlineLevel="0" collapsed="false">
      <c r="A258" s="2" t="s">
        <v>1606</v>
      </c>
      <c r="B258" s="3" t="s">
        <v>1607</v>
      </c>
      <c r="C258" s="2"/>
      <c r="D258" s="2" t="s">
        <v>15</v>
      </c>
      <c r="E258" s="2" t="s">
        <v>16</v>
      </c>
      <c r="F258" s="2" t="s">
        <v>1608</v>
      </c>
      <c r="G258" s="2" t="s">
        <v>1609</v>
      </c>
      <c r="H258" s="2" t="s">
        <v>47</v>
      </c>
      <c r="I258" s="2" t="s">
        <v>94</v>
      </c>
      <c r="J258" s="2" t="s">
        <v>71</v>
      </c>
      <c r="K258" s="2" t="s">
        <v>72</v>
      </c>
      <c r="L258" s="2" t="s">
        <v>1610</v>
      </c>
      <c r="M258" s="2"/>
    </row>
    <row r="259" customFormat="false" ht="23.85" hidden="false" customHeight="false" outlineLevel="0" collapsed="false">
      <c r="A259" s="2" t="s">
        <v>1611</v>
      </c>
      <c r="B259" s="3" t="s">
        <v>1612</v>
      </c>
      <c r="C259" s="2" t="s">
        <v>1613</v>
      </c>
      <c r="D259" s="2" t="s">
        <v>82</v>
      </c>
      <c r="E259" s="2" t="s">
        <v>53</v>
      </c>
      <c r="F259" s="2" t="s">
        <v>1614</v>
      </c>
      <c r="G259" s="2" t="s">
        <v>1615</v>
      </c>
      <c r="H259" s="2" t="s">
        <v>47</v>
      </c>
      <c r="I259" s="2" t="s">
        <v>182</v>
      </c>
      <c r="J259" s="2" t="s">
        <v>86</v>
      </c>
      <c r="K259" s="2" t="s">
        <v>87</v>
      </c>
      <c r="L259" s="2" t="s">
        <v>1616</v>
      </c>
      <c r="M259" s="2"/>
    </row>
    <row r="260" customFormat="false" ht="23.85" hidden="false" customHeight="false" outlineLevel="0" collapsed="false">
      <c r="A260" s="2" t="s">
        <v>1617</v>
      </c>
      <c r="B260" s="3" t="s">
        <v>1618</v>
      </c>
      <c r="C260" s="2" t="s">
        <v>1619</v>
      </c>
      <c r="D260" s="2" t="s">
        <v>43</v>
      </c>
      <c r="E260" s="2" t="s">
        <v>53</v>
      </c>
      <c r="F260" s="2" t="s">
        <v>1620</v>
      </c>
      <c r="G260" s="2" t="s">
        <v>1621</v>
      </c>
      <c r="H260" s="2" t="s">
        <v>28</v>
      </c>
      <c r="I260" s="2" t="s">
        <v>111</v>
      </c>
      <c r="J260" s="2" t="s">
        <v>21</v>
      </c>
      <c r="K260" s="2" t="s">
        <v>22</v>
      </c>
      <c r="L260" s="2" t="s">
        <v>1622</v>
      </c>
      <c r="M260" s="2"/>
    </row>
    <row r="261" customFormat="false" ht="15" hidden="false" customHeight="false" outlineLevel="0" collapsed="false">
      <c r="A261" s="2" t="s">
        <v>1623</v>
      </c>
      <c r="B261" s="3" t="s">
        <v>1624</v>
      </c>
      <c r="C261" s="2"/>
      <c r="D261" s="2" t="s">
        <v>179</v>
      </c>
      <c r="E261" s="2" t="s">
        <v>53</v>
      </c>
      <c r="F261" s="2" t="s">
        <v>1625</v>
      </c>
      <c r="G261" s="2" t="s">
        <v>1626</v>
      </c>
      <c r="H261" s="2"/>
      <c r="I261" s="2" t="s">
        <v>256</v>
      </c>
      <c r="J261" s="2" t="s">
        <v>21</v>
      </c>
      <c r="K261" s="2" t="s">
        <v>22</v>
      </c>
      <c r="L261" s="2" t="s">
        <v>1627</v>
      </c>
      <c r="M261" s="2"/>
    </row>
    <row r="262" customFormat="false" ht="23.85" hidden="false" customHeight="false" outlineLevel="0" collapsed="false">
      <c r="A262" s="2" t="s">
        <v>1628</v>
      </c>
      <c r="B262" s="3" t="s">
        <v>1629</v>
      </c>
      <c r="C262" s="2"/>
      <c r="D262" s="2" t="s">
        <v>15</v>
      </c>
      <c r="E262" s="2" t="s">
        <v>99</v>
      </c>
      <c r="F262" s="2" t="s">
        <v>1630</v>
      </c>
      <c r="G262" s="2" t="s">
        <v>1631</v>
      </c>
      <c r="H262" s="2" t="s">
        <v>47</v>
      </c>
      <c r="I262" s="2" t="s">
        <v>94</v>
      </c>
      <c r="J262" s="2" t="s">
        <v>86</v>
      </c>
      <c r="K262" s="2" t="s">
        <v>72</v>
      </c>
      <c r="L262" s="2" t="s">
        <v>390</v>
      </c>
      <c r="M262" s="2"/>
    </row>
    <row r="263" customFormat="false" ht="15" hidden="false" customHeight="false" outlineLevel="0" collapsed="false">
      <c r="A263" s="2" t="s">
        <v>1632</v>
      </c>
      <c r="B263" s="3" t="s">
        <v>1633</v>
      </c>
      <c r="C263" s="2"/>
      <c r="D263" s="2" t="s">
        <v>82</v>
      </c>
      <c r="E263" s="2" t="s">
        <v>591</v>
      </c>
      <c r="F263" s="2" t="s">
        <v>1634</v>
      </c>
      <c r="G263" s="2" t="s">
        <v>1635</v>
      </c>
      <c r="H263" s="2" t="s">
        <v>47</v>
      </c>
      <c r="I263" s="2" t="s">
        <v>48</v>
      </c>
      <c r="J263" s="2" t="s">
        <v>21</v>
      </c>
      <c r="K263" s="2" t="s">
        <v>22</v>
      </c>
      <c r="L263" s="2" t="s">
        <v>1636</v>
      </c>
      <c r="M263" s="2"/>
    </row>
    <row r="264" customFormat="false" ht="23.85" hidden="false" customHeight="false" outlineLevel="0" collapsed="false">
      <c r="A264" s="2" t="s">
        <v>1637</v>
      </c>
      <c r="B264" s="3" t="s">
        <v>1638</v>
      </c>
      <c r="C264" s="2" t="s">
        <v>1639</v>
      </c>
      <c r="D264" s="2" t="s">
        <v>106</v>
      </c>
      <c r="E264" s="2" t="s">
        <v>1640</v>
      </c>
      <c r="F264" s="2" t="s">
        <v>1641</v>
      </c>
      <c r="G264" s="2" t="s">
        <v>1642</v>
      </c>
      <c r="H264" s="2" t="s">
        <v>226</v>
      </c>
      <c r="I264" s="2" t="s">
        <v>29</v>
      </c>
      <c r="J264" s="2" t="s">
        <v>71</v>
      </c>
      <c r="K264" s="2" t="s">
        <v>72</v>
      </c>
      <c r="L264" s="2" t="s">
        <v>1643</v>
      </c>
      <c r="M264" s="2"/>
    </row>
    <row r="265" customFormat="false" ht="23.85" hidden="false" customHeight="false" outlineLevel="0" collapsed="false">
      <c r="A265" s="2" t="s">
        <v>1644</v>
      </c>
      <c r="B265" s="3" t="s">
        <v>1645</v>
      </c>
      <c r="C265" s="2"/>
      <c r="D265" s="2" t="s">
        <v>59</v>
      </c>
      <c r="E265" s="2" t="s">
        <v>35</v>
      </c>
      <c r="F265" s="2" t="s">
        <v>1646</v>
      </c>
      <c r="G265" s="2" t="s">
        <v>1647</v>
      </c>
      <c r="H265" s="2" t="s">
        <v>452</v>
      </c>
      <c r="I265" s="2" t="s">
        <v>508</v>
      </c>
      <c r="J265" s="2" t="s">
        <v>86</v>
      </c>
      <c r="K265" s="2" t="s">
        <v>87</v>
      </c>
      <c r="L265" s="2" t="s">
        <v>1648</v>
      </c>
      <c r="M265" s="2"/>
    </row>
    <row r="266" customFormat="false" ht="15" hidden="false" customHeight="false" outlineLevel="0" collapsed="false">
      <c r="A266" s="2" t="s">
        <v>1649</v>
      </c>
      <c r="B266" s="3" t="s">
        <v>1650</v>
      </c>
      <c r="C266" s="2" t="s">
        <v>1651</v>
      </c>
      <c r="D266" s="2" t="s">
        <v>59</v>
      </c>
      <c r="E266" s="2" t="s">
        <v>53</v>
      </c>
      <c r="F266" s="2" t="s">
        <v>1652</v>
      </c>
      <c r="G266" s="2" t="s">
        <v>1653</v>
      </c>
      <c r="H266" s="2" t="s">
        <v>543</v>
      </c>
      <c r="I266" s="2" t="s">
        <v>29</v>
      </c>
      <c r="J266" s="2" t="s">
        <v>71</v>
      </c>
      <c r="K266" s="2" t="s">
        <v>72</v>
      </c>
      <c r="L266" s="2" t="s">
        <v>1654</v>
      </c>
      <c r="M266" s="2"/>
    </row>
    <row r="267" customFormat="false" ht="15" hidden="false" customHeight="false" outlineLevel="0" collapsed="false">
      <c r="A267" s="2" t="s">
        <v>1655</v>
      </c>
      <c r="B267" s="3" t="s">
        <v>1656</v>
      </c>
      <c r="C267" s="2"/>
      <c r="D267" s="2" t="s">
        <v>231</v>
      </c>
      <c r="E267" s="2" t="s">
        <v>53</v>
      </c>
      <c r="F267" s="2" t="s">
        <v>1657</v>
      </c>
      <c r="G267" s="2" t="s">
        <v>1658</v>
      </c>
      <c r="H267" s="2"/>
      <c r="I267" s="2" t="s">
        <v>111</v>
      </c>
      <c r="J267" s="2" t="s">
        <v>86</v>
      </c>
      <c r="K267" s="2" t="s">
        <v>22</v>
      </c>
      <c r="L267" s="2" t="s">
        <v>1659</v>
      </c>
      <c r="M267" s="2"/>
    </row>
    <row r="268" customFormat="false" ht="23.85" hidden="false" customHeight="false" outlineLevel="0" collapsed="false">
      <c r="A268" s="2" t="s">
        <v>1660</v>
      </c>
      <c r="B268" s="3" t="s">
        <v>1661</v>
      </c>
      <c r="C268" s="2"/>
      <c r="D268" s="2" t="s">
        <v>238</v>
      </c>
      <c r="E268" s="2" t="s">
        <v>1662</v>
      </c>
      <c r="F268" s="2" t="s">
        <v>1663</v>
      </c>
      <c r="G268" s="2" t="s">
        <v>1664</v>
      </c>
      <c r="H268" s="2" t="s">
        <v>241</v>
      </c>
      <c r="I268" s="2" t="s">
        <v>29</v>
      </c>
      <c r="J268" s="2" t="s">
        <v>21</v>
      </c>
      <c r="K268" s="2" t="s">
        <v>22</v>
      </c>
      <c r="L268" s="2" t="s">
        <v>1665</v>
      </c>
      <c r="M268" s="2" t="s">
        <v>1666</v>
      </c>
    </row>
    <row r="269" customFormat="false" ht="23.85" hidden="false" customHeight="false" outlineLevel="0" collapsed="false">
      <c r="A269" s="2" t="s">
        <v>1667</v>
      </c>
      <c r="B269" s="3" t="s">
        <v>1668</v>
      </c>
      <c r="C269" s="2"/>
      <c r="D269" s="2" t="s">
        <v>59</v>
      </c>
      <c r="E269" s="2" t="s">
        <v>91</v>
      </c>
      <c r="F269" s="2" t="s">
        <v>1669</v>
      </c>
      <c r="G269" s="2" t="s">
        <v>1670</v>
      </c>
      <c r="H269" s="2" t="s">
        <v>452</v>
      </c>
      <c r="I269" s="2" t="s">
        <v>85</v>
      </c>
      <c r="J269" s="2" t="s">
        <v>71</v>
      </c>
      <c r="K269" s="2" t="s">
        <v>72</v>
      </c>
      <c r="L269" s="2" t="s">
        <v>176</v>
      </c>
      <c r="M269" s="2" t="s">
        <v>1671</v>
      </c>
    </row>
    <row r="270" customFormat="false" ht="23.85" hidden="false" customHeight="false" outlineLevel="0" collapsed="false">
      <c r="A270" s="2" t="s">
        <v>294</v>
      </c>
      <c r="B270" s="3" t="s">
        <v>1672</v>
      </c>
      <c r="C270" s="2"/>
      <c r="D270" s="2" t="s">
        <v>231</v>
      </c>
      <c r="E270" s="2" t="s">
        <v>53</v>
      </c>
      <c r="F270" s="2" t="s">
        <v>1673</v>
      </c>
      <c r="G270" s="2" t="s">
        <v>1674</v>
      </c>
      <c r="H270" s="2" t="s">
        <v>226</v>
      </c>
      <c r="I270" s="2" t="s">
        <v>29</v>
      </c>
      <c r="J270" s="2" t="s">
        <v>71</v>
      </c>
      <c r="K270" s="2" t="s">
        <v>72</v>
      </c>
      <c r="L270" s="2" t="s">
        <v>290</v>
      </c>
      <c r="M270" s="2"/>
    </row>
    <row r="271" customFormat="false" ht="23.85" hidden="false" customHeight="false" outlineLevel="0" collapsed="false">
      <c r="A271" s="2" t="s">
        <v>1675</v>
      </c>
      <c r="B271" s="3" t="s">
        <v>1676</v>
      </c>
      <c r="C271" s="2"/>
      <c r="D271" s="2" t="s">
        <v>82</v>
      </c>
      <c r="E271" s="2" t="s">
        <v>266</v>
      </c>
      <c r="F271" s="2" t="s">
        <v>1677</v>
      </c>
      <c r="G271" s="2" t="s">
        <v>1678</v>
      </c>
      <c r="H271" s="2" t="s">
        <v>47</v>
      </c>
      <c r="I271" s="2" t="s">
        <v>48</v>
      </c>
      <c r="J271" s="2" t="s">
        <v>21</v>
      </c>
      <c r="K271" s="2" t="s">
        <v>72</v>
      </c>
      <c r="L271" s="2" t="s">
        <v>1679</v>
      </c>
      <c r="M271" s="2" t="s">
        <v>1680</v>
      </c>
    </row>
    <row r="272" customFormat="false" ht="23.85" hidden="false" customHeight="false" outlineLevel="0" collapsed="false">
      <c r="A272" s="2" t="s">
        <v>1681</v>
      </c>
      <c r="B272" s="3" t="s">
        <v>1682</v>
      </c>
      <c r="C272" s="2" t="s">
        <v>1683</v>
      </c>
      <c r="D272" s="2" t="s">
        <v>59</v>
      </c>
      <c r="E272" s="2" t="s">
        <v>91</v>
      </c>
      <c r="F272" s="2" t="s">
        <v>1684</v>
      </c>
      <c r="G272" s="2" t="s">
        <v>1685</v>
      </c>
      <c r="H272" s="2" t="s">
        <v>543</v>
      </c>
      <c r="I272" s="2" t="s">
        <v>508</v>
      </c>
      <c r="J272" s="2" t="s">
        <v>71</v>
      </c>
      <c r="K272" s="2" t="s">
        <v>72</v>
      </c>
      <c r="L272" s="2" t="s">
        <v>1050</v>
      </c>
      <c r="M272" s="2" t="s">
        <v>1686</v>
      </c>
    </row>
    <row r="273" customFormat="false" ht="23.85" hidden="false" customHeight="false" outlineLevel="0" collapsed="false">
      <c r="A273" s="2" t="s">
        <v>1687</v>
      </c>
      <c r="B273" s="3" t="s">
        <v>1688</v>
      </c>
      <c r="C273" s="2" t="s">
        <v>1689</v>
      </c>
      <c r="D273" s="2" t="s">
        <v>231</v>
      </c>
      <c r="E273" s="2" t="s">
        <v>53</v>
      </c>
      <c r="F273" s="2" t="s">
        <v>1690</v>
      </c>
      <c r="G273" s="2" t="s">
        <v>1691</v>
      </c>
      <c r="H273" s="2"/>
      <c r="I273" s="2" t="s">
        <v>94</v>
      </c>
      <c r="J273" s="2" t="s">
        <v>86</v>
      </c>
      <c r="K273" s="2" t="s">
        <v>72</v>
      </c>
      <c r="L273" s="2" t="s">
        <v>1692</v>
      </c>
      <c r="M273" s="2"/>
    </row>
    <row r="274" customFormat="false" ht="23.85" hidden="false" customHeight="false" outlineLevel="0" collapsed="false">
      <c r="A274" s="2" t="s">
        <v>1693</v>
      </c>
      <c r="B274" s="3" t="s">
        <v>1694</v>
      </c>
      <c r="C274" s="2" t="s">
        <v>1695</v>
      </c>
      <c r="D274" s="2" t="s">
        <v>106</v>
      </c>
      <c r="E274" s="2" t="s">
        <v>53</v>
      </c>
      <c r="F274" s="2" t="s">
        <v>1696</v>
      </c>
      <c r="G274" s="2" t="s">
        <v>1697</v>
      </c>
      <c r="H274" s="2" t="s">
        <v>410</v>
      </c>
      <c r="I274" s="2" t="s">
        <v>111</v>
      </c>
      <c r="J274" s="2" t="s">
        <v>21</v>
      </c>
      <c r="K274" s="2" t="s">
        <v>22</v>
      </c>
      <c r="L274" s="2" t="s">
        <v>1698</v>
      </c>
      <c r="M274" s="2"/>
    </row>
    <row r="275" customFormat="false" ht="23.85" hidden="false" customHeight="false" outlineLevel="0" collapsed="false">
      <c r="A275" s="2" t="s">
        <v>1699</v>
      </c>
      <c r="B275" s="3" t="s">
        <v>1700</v>
      </c>
      <c r="C275" s="2" t="s">
        <v>1701</v>
      </c>
      <c r="D275" s="2" t="s">
        <v>15</v>
      </c>
      <c r="E275" s="2" t="s">
        <v>312</v>
      </c>
      <c r="F275" s="2" t="s">
        <v>1702</v>
      </c>
      <c r="G275" s="2" t="s">
        <v>1703</v>
      </c>
      <c r="H275" s="2" t="s">
        <v>47</v>
      </c>
      <c r="I275" s="2" t="s">
        <v>48</v>
      </c>
      <c r="J275" s="2" t="s">
        <v>71</v>
      </c>
      <c r="K275" s="2" t="s">
        <v>72</v>
      </c>
      <c r="L275" s="2" t="s">
        <v>1704</v>
      </c>
      <c r="M275" s="2"/>
    </row>
    <row r="276" customFormat="false" ht="23.85" hidden="false" customHeight="false" outlineLevel="0" collapsed="false">
      <c r="A276" s="2" t="s">
        <v>1705</v>
      </c>
      <c r="B276" s="3" t="s">
        <v>1706</v>
      </c>
      <c r="C276" s="2" t="s">
        <v>1707</v>
      </c>
      <c r="D276" s="2" t="s">
        <v>15</v>
      </c>
      <c r="E276" s="2" t="s">
        <v>116</v>
      </c>
      <c r="F276" s="2" t="s">
        <v>1708</v>
      </c>
      <c r="G276" s="2" t="s">
        <v>1709</v>
      </c>
      <c r="H276" s="2" t="s">
        <v>47</v>
      </c>
      <c r="I276" s="2" t="s">
        <v>182</v>
      </c>
      <c r="J276" s="2" t="s">
        <v>86</v>
      </c>
      <c r="K276" s="2" t="s">
        <v>72</v>
      </c>
      <c r="L276" s="2" t="s">
        <v>1710</v>
      </c>
      <c r="M276" s="2"/>
    </row>
    <row r="277" customFormat="false" ht="23.85" hidden="false" customHeight="false" outlineLevel="0" collapsed="false">
      <c r="A277" s="2" t="s">
        <v>1711</v>
      </c>
      <c r="B277" s="3" t="s">
        <v>1712</v>
      </c>
      <c r="C277" s="2"/>
      <c r="D277" s="2" t="s">
        <v>59</v>
      </c>
      <c r="E277" s="2" t="s">
        <v>53</v>
      </c>
      <c r="F277" s="2" t="s">
        <v>1713</v>
      </c>
      <c r="G277" s="2" t="s">
        <v>1714</v>
      </c>
      <c r="H277" s="2" t="s">
        <v>47</v>
      </c>
      <c r="I277" s="2" t="s">
        <v>85</v>
      </c>
      <c r="J277" s="2" t="s">
        <v>71</v>
      </c>
      <c r="K277" s="2" t="s">
        <v>22</v>
      </c>
      <c r="L277" s="2" t="s">
        <v>1715</v>
      </c>
      <c r="M277" s="2"/>
    </row>
    <row r="278" customFormat="false" ht="15" hidden="false" customHeight="false" outlineLevel="0" collapsed="false">
      <c r="A278" s="2" t="s">
        <v>1716</v>
      </c>
      <c r="B278" s="3" t="s">
        <v>1717</v>
      </c>
      <c r="C278" s="2" t="s">
        <v>1718</v>
      </c>
      <c r="D278" s="2" t="s">
        <v>43</v>
      </c>
      <c r="E278" s="2" t="s">
        <v>53</v>
      </c>
      <c r="F278" s="2" t="s">
        <v>1719</v>
      </c>
      <c r="G278" s="2" t="s">
        <v>1720</v>
      </c>
      <c r="H278" s="2" t="s">
        <v>28</v>
      </c>
      <c r="I278" s="2" t="s">
        <v>111</v>
      </c>
      <c r="J278" s="2" t="s">
        <v>71</v>
      </c>
      <c r="K278" s="2" t="s">
        <v>22</v>
      </c>
      <c r="L278" s="2" t="s">
        <v>1721</v>
      </c>
      <c r="M278" s="2"/>
    </row>
    <row r="279" customFormat="false" ht="15" hidden="false" customHeight="false" outlineLevel="0" collapsed="false">
      <c r="A279" s="2" t="s">
        <v>1722</v>
      </c>
      <c r="B279" s="3" t="s">
        <v>1723</v>
      </c>
      <c r="C279" s="2" t="s">
        <v>1724</v>
      </c>
      <c r="D279" s="2" t="s">
        <v>238</v>
      </c>
      <c r="E279" s="2" t="s">
        <v>53</v>
      </c>
      <c r="F279" s="2" t="s">
        <v>1725</v>
      </c>
      <c r="G279" s="2" t="s">
        <v>1726</v>
      </c>
      <c r="H279" s="2" t="s">
        <v>241</v>
      </c>
      <c r="I279" s="2" t="s">
        <v>48</v>
      </c>
      <c r="J279" s="2" t="s">
        <v>71</v>
      </c>
      <c r="K279" s="2" t="s">
        <v>22</v>
      </c>
      <c r="L279" s="2" t="s">
        <v>235</v>
      </c>
      <c r="M279" s="2"/>
    </row>
    <row r="280" customFormat="false" ht="23.85" hidden="false" customHeight="false" outlineLevel="0" collapsed="false">
      <c r="A280" s="2" t="s">
        <v>1727</v>
      </c>
      <c r="B280" s="3" t="s">
        <v>1728</v>
      </c>
      <c r="C280" s="2"/>
      <c r="D280" s="2" t="s">
        <v>52</v>
      </c>
      <c r="E280" s="2" t="s">
        <v>535</v>
      </c>
      <c r="F280" s="2" t="s">
        <v>1729</v>
      </c>
      <c r="G280" s="2" t="s">
        <v>1730</v>
      </c>
      <c r="H280" s="2"/>
      <c r="I280" s="2" t="s">
        <v>63</v>
      </c>
      <c r="J280" s="2" t="s">
        <v>21</v>
      </c>
      <c r="K280" s="2" t="s">
        <v>22</v>
      </c>
      <c r="L280" s="2" t="s">
        <v>1731</v>
      </c>
      <c r="M280" s="2" t="s">
        <v>1732</v>
      </c>
    </row>
    <row r="281" customFormat="false" ht="15" hidden="false" customHeight="false" outlineLevel="0" collapsed="false">
      <c r="A281" s="2" t="s">
        <v>95</v>
      </c>
      <c r="B281" s="3" t="s">
        <v>1733</v>
      </c>
      <c r="C281" s="2" t="s">
        <v>1734</v>
      </c>
      <c r="D281" s="2" t="s">
        <v>34</v>
      </c>
      <c r="E281" s="2" t="s">
        <v>91</v>
      </c>
      <c r="F281" s="2" t="s">
        <v>1735</v>
      </c>
      <c r="G281" s="2" t="s">
        <v>1736</v>
      </c>
      <c r="H281" s="2" t="s">
        <v>288</v>
      </c>
      <c r="I281" s="2" t="s">
        <v>508</v>
      </c>
      <c r="J281" s="2" t="s">
        <v>71</v>
      </c>
      <c r="K281" s="2" t="s">
        <v>72</v>
      </c>
      <c r="L281" s="2" t="s">
        <v>1737</v>
      </c>
      <c r="M281" s="2" t="s">
        <v>1738</v>
      </c>
    </row>
    <row r="282" customFormat="false" ht="15" hidden="false" customHeight="false" outlineLevel="0" collapsed="false">
      <c r="A282" s="2" t="s">
        <v>1739</v>
      </c>
      <c r="B282" s="3" t="s">
        <v>1740</v>
      </c>
      <c r="C282" s="2" t="s">
        <v>1741</v>
      </c>
      <c r="D282" s="2" t="s">
        <v>15</v>
      </c>
      <c r="E282" s="2" t="s">
        <v>574</v>
      </c>
      <c r="F282" s="2" t="s">
        <v>1742</v>
      </c>
      <c r="G282" s="2" t="s">
        <v>1743</v>
      </c>
      <c r="H282" s="2" t="s">
        <v>47</v>
      </c>
      <c r="I282" s="2" t="s">
        <v>85</v>
      </c>
      <c r="J282" s="2" t="s">
        <v>86</v>
      </c>
      <c r="K282" s="2" t="s">
        <v>22</v>
      </c>
      <c r="L282" s="2" t="s">
        <v>354</v>
      </c>
      <c r="M282" s="2"/>
    </row>
    <row r="283" customFormat="false" ht="23.85" hidden="false" customHeight="false" outlineLevel="0" collapsed="false">
      <c r="A283" s="2" t="s">
        <v>1744</v>
      </c>
      <c r="B283" s="3" t="s">
        <v>1745</v>
      </c>
      <c r="C283" s="2"/>
      <c r="D283" s="2" t="s">
        <v>82</v>
      </c>
      <c r="E283" s="2" t="s">
        <v>535</v>
      </c>
      <c r="F283" s="2" t="s">
        <v>1746</v>
      </c>
      <c r="G283" s="2" t="s">
        <v>1747</v>
      </c>
      <c r="H283" s="2" t="s">
        <v>47</v>
      </c>
      <c r="I283" s="2" t="s">
        <v>63</v>
      </c>
      <c r="J283" s="2" t="s">
        <v>21</v>
      </c>
      <c r="K283" s="2" t="s">
        <v>22</v>
      </c>
      <c r="L283" s="2" t="s">
        <v>1748</v>
      </c>
      <c r="M283" s="2"/>
    </row>
    <row r="284" customFormat="false" ht="23.85" hidden="false" customHeight="false" outlineLevel="0" collapsed="false">
      <c r="A284" s="2" t="s">
        <v>1749</v>
      </c>
      <c r="B284" s="3" t="s">
        <v>1750</v>
      </c>
      <c r="C284" s="2" t="s">
        <v>1751</v>
      </c>
      <c r="D284" s="2" t="s">
        <v>15</v>
      </c>
      <c r="E284" s="2" t="s">
        <v>99</v>
      </c>
      <c r="F284" s="2" t="s">
        <v>1752</v>
      </c>
      <c r="G284" s="2" t="s">
        <v>1753</v>
      </c>
      <c r="H284" s="2" t="s">
        <v>47</v>
      </c>
      <c r="I284" s="2" t="s">
        <v>138</v>
      </c>
      <c r="J284" s="2" t="s">
        <v>71</v>
      </c>
      <c r="K284" s="2" t="s">
        <v>72</v>
      </c>
      <c r="L284" s="2" t="s">
        <v>1754</v>
      </c>
      <c r="M284" s="2"/>
    </row>
    <row r="285" customFormat="false" ht="15" hidden="false" customHeight="false" outlineLevel="0" collapsed="false">
      <c r="A285" s="2" t="s">
        <v>1755</v>
      </c>
      <c r="B285" s="3" t="s">
        <v>1756</v>
      </c>
      <c r="C285" s="2" t="s">
        <v>1757</v>
      </c>
      <c r="D285" s="2" t="s">
        <v>15</v>
      </c>
      <c r="E285" s="2" t="s">
        <v>977</v>
      </c>
      <c r="F285" s="2" t="s">
        <v>1758</v>
      </c>
      <c r="G285" s="2" t="s">
        <v>1759</v>
      </c>
      <c r="H285" s="2"/>
      <c r="I285" s="2" t="s">
        <v>111</v>
      </c>
      <c r="J285" s="2" t="s">
        <v>21</v>
      </c>
      <c r="K285" s="2" t="s">
        <v>22</v>
      </c>
      <c r="L285" s="2" t="s">
        <v>1117</v>
      </c>
      <c r="M285" s="2" t="s">
        <v>1760</v>
      </c>
    </row>
    <row r="286" customFormat="false" ht="23.85" hidden="false" customHeight="false" outlineLevel="0" collapsed="false">
      <c r="A286" s="2" t="s">
        <v>1761</v>
      </c>
      <c r="B286" s="3" t="s">
        <v>1762</v>
      </c>
      <c r="C286" s="2"/>
      <c r="D286" s="2" t="s">
        <v>43</v>
      </c>
      <c r="E286" s="2" t="s">
        <v>107</v>
      </c>
      <c r="F286" s="2" t="s">
        <v>1763</v>
      </c>
      <c r="G286" s="2" t="s">
        <v>1764</v>
      </c>
      <c r="H286" s="2"/>
      <c r="I286" s="2" t="s">
        <v>111</v>
      </c>
      <c r="J286" s="2" t="s">
        <v>71</v>
      </c>
      <c r="K286" s="2" t="s">
        <v>22</v>
      </c>
      <c r="L286" s="2" t="s">
        <v>1765</v>
      </c>
      <c r="M286" s="2"/>
    </row>
    <row r="287" customFormat="false" ht="23.85" hidden="false" customHeight="false" outlineLevel="0" collapsed="false">
      <c r="A287" s="2" t="s">
        <v>1766</v>
      </c>
      <c r="B287" s="3" t="s">
        <v>1767</v>
      </c>
      <c r="C287" s="2" t="s">
        <v>1768</v>
      </c>
      <c r="D287" s="2" t="s">
        <v>82</v>
      </c>
      <c r="E287" s="2" t="s">
        <v>53</v>
      </c>
      <c r="F287" s="2" t="s">
        <v>1769</v>
      </c>
      <c r="G287" s="2" t="s">
        <v>1770</v>
      </c>
      <c r="H287" s="2" t="s">
        <v>47</v>
      </c>
      <c r="I287" s="2" t="s">
        <v>85</v>
      </c>
      <c r="J287" s="2" t="s">
        <v>86</v>
      </c>
      <c r="K287" s="2" t="s">
        <v>72</v>
      </c>
      <c r="L287" s="2" t="s">
        <v>1771</v>
      </c>
      <c r="M287" s="2"/>
    </row>
    <row r="288" customFormat="false" ht="23.85" hidden="false" customHeight="false" outlineLevel="0" collapsed="false">
      <c r="A288" s="2" t="s">
        <v>1772</v>
      </c>
      <c r="B288" s="3" t="s">
        <v>1773</v>
      </c>
      <c r="C288" s="2"/>
      <c r="D288" s="2" t="s">
        <v>52</v>
      </c>
      <c r="E288" s="2" t="s">
        <v>1381</v>
      </c>
      <c r="F288" s="2" t="s">
        <v>1774</v>
      </c>
      <c r="G288" s="2" t="s">
        <v>1775</v>
      </c>
      <c r="H288" s="2" t="s">
        <v>452</v>
      </c>
      <c r="I288" s="2" t="s">
        <v>63</v>
      </c>
      <c r="J288" s="2" t="s">
        <v>71</v>
      </c>
      <c r="K288" s="2" t="s">
        <v>22</v>
      </c>
      <c r="L288" s="2" t="s">
        <v>1776</v>
      </c>
      <c r="M288" s="2"/>
    </row>
    <row r="289" customFormat="false" ht="23.85" hidden="false" customHeight="false" outlineLevel="0" collapsed="false">
      <c r="A289" s="2" t="s">
        <v>1777</v>
      </c>
      <c r="B289" s="3" t="s">
        <v>1778</v>
      </c>
      <c r="C289" s="2"/>
      <c r="D289" s="2" t="s">
        <v>34</v>
      </c>
      <c r="E289" s="2" t="s">
        <v>53</v>
      </c>
      <c r="F289" s="2" t="s">
        <v>1779</v>
      </c>
      <c r="G289" s="2" t="s">
        <v>1780</v>
      </c>
      <c r="H289" s="2" t="s">
        <v>19</v>
      </c>
      <c r="I289" s="2" t="s">
        <v>85</v>
      </c>
      <c r="J289" s="2" t="s">
        <v>71</v>
      </c>
      <c r="K289" s="2" t="s">
        <v>22</v>
      </c>
      <c r="L289" s="2" t="s">
        <v>1781</v>
      </c>
      <c r="M289" s="2" t="s">
        <v>1782</v>
      </c>
    </row>
    <row r="290" customFormat="false" ht="23.85" hidden="false" customHeight="false" outlineLevel="0" collapsed="false">
      <c r="A290" s="2" t="s">
        <v>1783</v>
      </c>
      <c r="B290" s="3" t="s">
        <v>1784</v>
      </c>
      <c r="C290" s="2"/>
      <c r="D290" s="2" t="s">
        <v>82</v>
      </c>
      <c r="E290" s="2" t="s">
        <v>1381</v>
      </c>
      <c r="F290" s="2" t="s">
        <v>1785</v>
      </c>
      <c r="G290" s="2" t="s">
        <v>1786</v>
      </c>
      <c r="H290" s="2" t="s">
        <v>47</v>
      </c>
      <c r="I290" s="2" t="s">
        <v>48</v>
      </c>
      <c r="J290" s="2" t="s">
        <v>21</v>
      </c>
      <c r="K290" s="2" t="s">
        <v>72</v>
      </c>
      <c r="L290" s="2" t="s">
        <v>1787</v>
      </c>
      <c r="M290" s="2" t="s">
        <v>1788</v>
      </c>
    </row>
    <row r="291" customFormat="false" ht="23.85" hidden="false" customHeight="false" outlineLevel="0" collapsed="false">
      <c r="A291" s="2" t="s">
        <v>1789</v>
      </c>
      <c r="B291" s="3" t="s">
        <v>1790</v>
      </c>
      <c r="C291" s="2"/>
      <c r="D291" s="2" t="s">
        <v>82</v>
      </c>
      <c r="E291" s="2" t="s">
        <v>1381</v>
      </c>
      <c r="F291" s="2" t="s">
        <v>1791</v>
      </c>
      <c r="G291" s="2" t="s">
        <v>1792</v>
      </c>
      <c r="H291" s="2" t="s">
        <v>47</v>
      </c>
      <c r="I291" s="2" t="s">
        <v>63</v>
      </c>
      <c r="J291" s="2" t="s">
        <v>21</v>
      </c>
      <c r="K291" s="2" t="s">
        <v>22</v>
      </c>
      <c r="L291" s="2" t="s">
        <v>1793</v>
      </c>
      <c r="M291" s="2"/>
    </row>
    <row r="292" customFormat="false" ht="15" hidden="false" customHeight="false" outlineLevel="0" collapsed="false">
      <c r="A292" s="2" t="s">
        <v>1794</v>
      </c>
      <c r="B292" s="3" t="s">
        <v>1795</v>
      </c>
      <c r="C292" s="2" t="s">
        <v>1796</v>
      </c>
      <c r="D292" s="2" t="s">
        <v>82</v>
      </c>
      <c r="E292" s="2" t="s">
        <v>216</v>
      </c>
      <c r="F292" s="2" t="s">
        <v>1797</v>
      </c>
      <c r="G292" s="2" t="s">
        <v>1798</v>
      </c>
      <c r="H292" s="2" t="s">
        <v>675</v>
      </c>
      <c r="I292" s="2" t="s">
        <v>508</v>
      </c>
      <c r="J292" s="2" t="s">
        <v>86</v>
      </c>
      <c r="K292" s="2" t="s">
        <v>87</v>
      </c>
      <c r="L292" s="2" t="s">
        <v>1799</v>
      </c>
      <c r="M292" s="2"/>
    </row>
    <row r="293" customFormat="false" ht="23.85" hidden="false" customHeight="false" outlineLevel="0" collapsed="false">
      <c r="A293" s="2" t="s">
        <v>1800</v>
      </c>
      <c r="B293" s="3" t="s">
        <v>1801</v>
      </c>
      <c r="C293" s="2" t="s">
        <v>1802</v>
      </c>
      <c r="D293" s="2" t="s">
        <v>15</v>
      </c>
      <c r="E293" s="2" t="s">
        <v>216</v>
      </c>
      <c r="F293" s="2" t="s">
        <v>1803</v>
      </c>
      <c r="G293" s="2" t="s">
        <v>1804</v>
      </c>
      <c r="H293" s="2" t="s">
        <v>47</v>
      </c>
      <c r="I293" s="2" t="s">
        <v>20</v>
      </c>
      <c r="J293" s="2" t="s">
        <v>71</v>
      </c>
      <c r="K293" s="2" t="s">
        <v>72</v>
      </c>
      <c r="L293" s="2" t="s">
        <v>1805</v>
      </c>
      <c r="M293" s="2"/>
    </row>
    <row r="294" customFormat="false" ht="23.85" hidden="false" customHeight="false" outlineLevel="0" collapsed="false">
      <c r="A294" s="2" t="s">
        <v>1806</v>
      </c>
      <c r="B294" s="3" t="s">
        <v>1807</v>
      </c>
      <c r="C294" s="2"/>
      <c r="D294" s="2" t="s">
        <v>106</v>
      </c>
      <c r="E294" s="2" t="s">
        <v>53</v>
      </c>
      <c r="F294" s="2" t="s">
        <v>1808</v>
      </c>
      <c r="G294" s="2" t="s">
        <v>1809</v>
      </c>
      <c r="H294" s="2" t="s">
        <v>110</v>
      </c>
      <c r="I294" s="2" t="s">
        <v>78</v>
      </c>
      <c r="J294" s="2" t="s">
        <v>71</v>
      </c>
      <c r="K294" s="2" t="s">
        <v>87</v>
      </c>
      <c r="L294" s="2" t="s">
        <v>1810</v>
      </c>
      <c r="M294" s="2"/>
    </row>
    <row r="295" customFormat="false" ht="23.85" hidden="false" customHeight="false" outlineLevel="0" collapsed="false">
      <c r="A295" s="2" t="s">
        <v>1811</v>
      </c>
      <c r="B295" s="3" t="s">
        <v>1812</v>
      </c>
      <c r="C295" s="2"/>
      <c r="D295" s="2" t="s">
        <v>82</v>
      </c>
      <c r="E295" s="2" t="s">
        <v>216</v>
      </c>
      <c r="F295" s="2" t="s">
        <v>1813</v>
      </c>
      <c r="G295" s="2" t="s">
        <v>1814</v>
      </c>
      <c r="H295" s="2" t="s">
        <v>47</v>
      </c>
      <c r="I295" s="2" t="s">
        <v>85</v>
      </c>
      <c r="J295" s="2" t="s">
        <v>86</v>
      </c>
      <c r="K295" s="2" t="s">
        <v>72</v>
      </c>
      <c r="L295" s="2" t="s">
        <v>1815</v>
      </c>
      <c r="M295" s="2" t="s">
        <v>1816</v>
      </c>
    </row>
    <row r="296" customFormat="false" ht="23.85" hidden="false" customHeight="false" outlineLevel="0" collapsed="false">
      <c r="A296" s="2" t="s">
        <v>792</v>
      </c>
      <c r="B296" s="3" t="s">
        <v>1817</v>
      </c>
      <c r="C296" s="2"/>
      <c r="D296" s="2" t="s">
        <v>15</v>
      </c>
      <c r="E296" s="2" t="s">
        <v>216</v>
      </c>
      <c r="F296" s="2" t="s">
        <v>1818</v>
      </c>
      <c r="G296" s="2" t="s">
        <v>1819</v>
      </c>
      <c r="H296" s="2" t="s">
        <v>47</v>
      </c>
      <c r="I296" s="2" t="s">
        <v>85</v>
      </c>
      <c r="J296" s="2" t="s">
        <v>71</v>
      </c>
      <c r="K296" s="2" t="s">
        <v>72</v>
      </c>
      <c r="L296" s="2" t="s">
        <v>1820</v>
      </c>
      <c r="M296" s="2" t="s">
        <v>1821</v>
      </c>
    </row>
    <row r="297" customFormat="false" ht="15" hidden="false" customHeight="false" outlineLevel="0" collapsed="false">
      <c r="A297" s="2" t="s">
        <v>1822</v>
      </c>
      <c r="B297" s="3" t="s">
        <v>1823</v>
      </c>
      <c r="C297" s="2" t="s">
        <v>1824</v>
      </c>
      <c r="D297" s="2" t="s">
        <v>43</v>
      </c>
      <c r="E297" s="2" t="s">
        <v>99</v>
      </c>
      <c r="F297" s="2" t="s">
        <v>1825</v>
      </c>
      <c r="G297" s="2" t="s">
        <v>1826</v>
      </c>
      <c r="H297" s="2" t="s">
        <v>145</v>
      </c>
      <c r="I297" s="2" t="s">
        <v>151</v>
      </c>
      <c r="J297" s="2" t="s">
        <v>21</v>
      </c>
      <c r="K297" s="2" t="s">
        <v>22</v>
      </c>
      <c r="L297" s="2" t="s">
        <v>1104</v>
      </c>
      <c r="M297" s="2"/>
    </row>
    <row r="298" customFormat="false" ht="23.85" hidden="false" customHeight="false" outlineLevel="0" collapsed="false">
      <c r="A298" s="2" t="s">
        <v>1827</v>
      </c>
      <c r="B298" s="3" t="s">
        <v>1828</v>
      </c>
      <c r="C298" s="2" t="s">
        <v>1829</v>
      </c>
      <c r="D298" s="2" t="s">
        <v>43</v>
      </c>
      <c r="E298" s="2" t="s">
        <v>99</v>
      </c>
      <c r="F298" s="2" t="s">
        <v>1830</v>
      </c>
      <c r="G298" s="2" t="s">
        <v>1831</v>
      </c>
      <c r="H298" s="2" t="s">
        <v>145</v>
      </c>
      <c r="I298" s="2" t="s">
        <v>151</v>
      </c>
      <c r="J298" s="2" t="s">
        <v>21</v>
      </c>
      <c r="K298" s="2" t="s">
        <v>22</v>
      </c>
      <c r="L298" s="2" t="s">
        <v>1832</v>
      </c>
      <c r="M298" s="2"/>
    </row>
    <row r="299" customFormat="false" ht="15" hidden="false" customHeight="false" outlineLevel="0" collapsed="false">
      <c r="A299" s="2" t="s">
        <v>1104</v>
      </c>
      <c r="B299" s="3" t="s">
        <v>1833</v>
      </c>
      <c r="C299" s="2" t="s">
        <v>1834</v>
      </c>
      <c r="D299" s="2" t="s">
        <v>43</v>
      </c>
      <c r="E299" s="2" t="s">
        <v>99</v>
      </c>
      <c r="F299" s="2" t="s">
        <v>1835</v>
      </c>
      <c r="G299" s="2" t="s">
        <v>1836</v>
      </c>
      <c r="H299" s="2" t="s">
        <v>145</v>
      </c>
      <c r="I299" s="2" t="s">
        <v>151</v>
      </c>
      <c r="J299" s="2" t="s">
        <v>21</v>
      </c>
      <c r="K299" s="2" t="s">
        <v>72</v>
      </c>
      <c r="L299" s="2" t="s">
        <v>1837</v>
      </c>
      <c r="M299" s="2"/>
    </row>
    <row r="300" customFormat="false" ht="23.85" hidden="false" customHeight="false" outlineLevel="0" collapsed="false">
      <c r="A300" s="2" t="s">
        <v>1838</v>
      </c>
      <c r="B300" s="3" t="s">
        <v>1839</v>
      </c>
      <c r="C300" s="2" t="s">
        <v>1840</v>
      </c>
      <c r="D300" s="2" t="s">
        <v>223</v>
      </c>
      <c r="E300" s="2" t="s">
        <v>53</v>
      </c>
      <c r="F300" s="2" t="s">
        <v>1841</v>
      </c>
      <c r="G300" s="2" t="s">
        <v>1842</v>
      </c>
      <c r="H300" s="2" t="s">
        <v>675</v>
      </c>
      <c r="I300" s="2" t="s">
        <v>182</v>
      </c>
      <c r="J300" s="2" t="s">
        <v>86</v>
      </c>
      <c r="K300" s="2" t="s">
        <v>87</v>
      </c>
      <c r="L300" s="2" t="s">
        <v>1843</v>
      </c>
      <c r="M300" s="2"/>
    </row>
    <row r="301" customFormat="false" ht="23.85" hidden="false" customHeight="false" outlineLevel="0" collapsed="false">
      <c r="A301" s="2" t="s">
        <v>1844</v>
      </c>
      <c r="B301" s="3" t="s">
        <v>1845</v>
      </c>
      <c r="C301" s="2"/>
      <c r="D301" s="2" t="s">
        <v>43</v>
      </c>
      <c r="E301" s="2" t="s">
        <v>53</v>
      </c>
      <c r="F301" s="2" t="s">
        <v>1846</v>
      </c>
      <c r="G301" s="2" t="s">
        <v>1847</v>
      </c>
      <c r="H301" s="2" t="s">
        <v>28</v>
      </c>
      <c r="I301" s="2" t="s">
        <v>151</v>
      </c>
      <c r="J301" s="2" t="s">
        <v>21</v>
      </c>
      <c r="K301" s="2" t="s">
        <v>22</v>
      </c>
      <c r="L301" s="2" t="s">
        <v>1848</v>
      </c>
      <c r="M301" s="2"/>
    </row>
    <row r="302" customFormat="false" ht="15" hidden="false" customHeight="false" outlineLevel="0" collapsed="false">
      <c r="A302" s="2" t="s">
        <v>1849</v>
      </c>
      <c r="B302" s="3" t="s">
        <v>1850</v>
      </c>
      <c r="C302" s="2"/>
      <c r="D302" s="2" t="s">
        <v>34</v>
      </c>
      <c r="E302" s="2" t="s">
        <v>216</v>
      </c>
      <c r="F302" s="2" t="s">
        <v>1851</v>
      </c>
      <c r="G302" s="2" t="s">
        <v>1852</v>
      </c>
      <c r="H302" s="2" t="s">
        <v>38</v>
      </c>
      <c r="I302" s="2" t="s">
        <v>85</v>
      </c>
      <c r="J302" s="2" t="s">
        <v>21</v>
      </c>
      <c r="K302" s="2" t="s">
        <v>22</v>
      </c>
      <c r="L302" s="2" t="s">
        <v>1853</v>
      </c>
      <c r="M302" s="2"/>
    </row>
    <row r="303" customFormat="false" ht="23.85" hidden="false" customHeight="false" outlineLevel="0" collapsed="false">
      <c r="A303" s="2" t="s">
        <v>630</v>
      </c>
      <c r="B303" s="3" t="s">
        <v>1854</v>
      </c>
      <c r="C303" s="2"/>
      <c r="D303" s="2" t="s">
        <v>82</v>
      </c>
      <c r="E303" s="2" t="s">
        <v>116</v>
      </c>
      <c r="F303" s="2" t="s">
        <v>1855</v>
      </c>
      <c r="G303" s="2" t="s">
        <v>1856</v>
      </c>
      <c r="H303" s="2" t="s">
        <v>211</v>
      </c>
      <c r="I303" s="2" t="s">
        <v>85</v>
      </c>
      <c r="J303" s="2" t="s">
        <v>71</v>
      </c>
      <c r="K303" s="2" t="s">
        <v>72</v>
      </c>
      <c r="L303" s="2" t="s">
        <v>1857</v>
      </c>
      <c r="M303" s="2"/>
    </row>
    <row r="304" customFormat="false" ht="15" hidden="false" customHeight="false" outlineLevel="0" collapsed="false">
      <c r="A304" s="2" t="s">
        <v>606</v>
      </c>
      <c r="B304" s="3" t="s">
        <v>1858</v>
      </c>
      <c r="C304" s="2"/>
      <c r="D304" s="2" t="s">
        <v>231</v>
      </c>
      <c r="E304" s="2" t="s">
        <v>53</v>
      </c>
      <c r="F304" s="2" t="s">
        <v>1859</v>
      </c>
      <c r="G304" s="2" t="s">
        <v>1860</v>
      </c>
      <c r="H304" s="2"/>
      <c r="I304" s="2" t="s">
        <v>111</v>
      </c>
      <c r="J304" s="2" t="s">
        <v>71</v>
      </c>
      <c r="K304" s="2" t="s">
        <v>72</v>
      </c>
      <c r="L304" s="2" t="s">
        <v>1861</v>
      </c>
      <c r="M304" s="2"/>
    </row>
    <row r="305" customFormat="false" ht="23.85" hidden="false" customHeight="false" outlineLevel="0" collapsed="false">
      <c r="A305" s="2" t="s">
        <v>1862</v>
      </c>
      <c r="B305" s="3" t="s">
        <v>1863</v>
      </c>
      <c r="C305" s="2" t="s">
        <v>1864</v>
      </c>
      <c r="D305" s="2" t="s">
        <v>82</v>
      </c>
      <c r="E305" s="2" t="s">
        <v>1865</v>
      </c>
      <c r="F305" s="2" t="s">
        <v>1866</v>
      </c>
      <c r="G305" s="2" t="s">
        <v>1867</v>
      </c>
      <c r="H305" s="2" t="s">
        <v>47</v>
      </c>
      <c r="I305" s="2" t="s">
        <v>799</v>
      </c>
      <c r="J305" s="2" t="s">
        <v>71</v>
      </c>
      <c r="K305" s="2" t="s">
        <v>22</v>
      </c>
      <c r="L305" s="2" t="s">
        <v>1868</v>
      </c>
      <c r="M305" s="2"/>
    </row>
    <row r="306" customFormat="false" ht="15" hidden="false" customHeight="false" outlineLevel="0" collapsed="false">
      <c r="A306" s="2" t="s">
        <v>1869</v>
      </c>
      <c r="B306" s="3" t="s">
        <v>1870</v>
      </c>
      <c r="C306" s="2" t="s">
        <v>1871</v>
      </c>
      <c r="D306" s="2" t="s">
        <v>82</v>
      </c>
      <c r="E306" s="2" t="s">
        <v>1495</v>
      </c>
      <c r="F306" s="2" t="s">
        <v>1872</v>
      </c>
      <c r="G306" s="2" t="s">
        <v>1873</v>
      </c>
      <c r="H306" s="2" t="s">
        <v>47</v>
      </c>
      <c r="I306" s="2" t="s">
        <v>63</v>
      </c>
      <c r="J306" s="2" t="s">
        <v>71</v>
      </c>
      <c r="K306" s="2" t="s">
        <v>72</v>
      </c>
      <c r="L306" s="2" t="s">
        <v>1874</v>
      </c>
      <c r="M306" s="2"/>
    </row>
    <row r="307" customFormat="false" ht="23.85" hidden="false" customHeight="false" outlineLevel="0" collapsed="false">
      <c r="A307" s="2" t="s">
        <v>1875</v>
      </c>
      <c r="B307" s="3" t="s">
        <v>1876</v>
      </c>
      <c r="C307" s="2" t="s">
        <v>1877</v>
      </c>
      <c r="D307" s="2" t="s">
        <v>238</v>
      </c>
      <c r="E307" s="2" t="s">
        <v>99</v>
      </c>
      <c r="F307" s="2" t="s">
        <v>1878</v>
      </c>
      <c r="G307" s="2" t="s">
        <v>1879</v>
      </c>
      <c r="H307" s="2" t="s">
        <v>241</v>
      </c>
      <c r="I307" s="2" t="s">
        <v>111</v>
      </c>
      <c r="J307" s="2" t="s">
        <v>71</v>
      </c>
      <c r="K307" s="2" t="s">
        <v>22</v>
      </c>
      <c r="L307" s="2" t="s">
        <v>277</v>
      </c>
      <c r="M307" s="2"/>
    </row>
    <row r="308" customFormat="false" ht="23.85" hidden="false" customHeight="false" outlineLevel="0" collapsed="false">
      <c r="A308" s="2" t="s">
        <v>1880</v>
      </c>
      <c r="B308" s="3" t="s">
        <v>1881</v>
      </c>
      <c r="C308" s="2" t="s">
        <v>1882</v>
      </c>
      <c r="D308" s="2" t="s">
        <v>15</v>
      </c>
      <c r="E308" s="2" t="s">
        <v>99</v>
      </c>
      <c r="F308" s="2" t="s">
        <v>1883</v>
      </c>
      <c r="G308" s="2" t="s">
        <v>1884</v>
      </c>
      <c r="H308" s="2" t="s">
        <v>47</v>
      </c>
      <c r="I308" s="2" t="s">
        <v>119</v>
      </c>
      <c r="J308" s="2" t="s">
        <v>86</v>
      </c>
      <c r="K308" s="2" t="s">
        <v>72</v>
      </c>
      <c r="L308" s="2" t="s">
        <v>1885</v>
      </c>
      <c r="M308" s="2"/>
    </row>
    <row r="309" customFormat="false" ht="23.85" hidden="false" customHeight="false" outlineLevel="0" collapsed="false">
      <c r="A309" s="2" t="s">
        <v>1886</v>
      </c>
      <c r="B309" s="3" t="s">
        <v>1887</v>
      </c>
      <c r="C309" s="2" t="s">
        <v>1888</v>
      </c>
      <c r="D309" s="2" t="s">
        <v>82</v>
      </c>
      <c r="E309" s="2" t="s">
        <v>535</v>
      </c>
      <c r="F309" s="2" t="s">
        <v>1889</v>
      </c>
      <c r="G309" s="2" t="s">
        <v>1890</v>
      </c>
      <c r="H309" s="2" t="s">
        <v>47</v>
      </c>
      <c r="I309" s="2" t="s">
        <v>63</v>
      </c>
      <c r="J309" s="2" t="s">
        <v>21</v>
      </c>
      <c r="K309" s="2" t="s">
        <v>72</v>
      </c>
      <c r="L309" s="2" t="s">
        <v>1891</v>
      </c>
      <c r="M309" s="2"/>
    </row>
    <row r="310" customFormat="false" ht="23.85" hidden="false" customHeight="false" outlineLevel="0" collapsed="false">
      <c r="A310" s="2" t="s">
        <v>1892</v>
      </c>
      <c r="B310" s="3" t="s">
        <v>1893</v>
      </c>
      <c r="C310" s="2" t="s">
        <v>1894</v>
      </c>
      <c r="D310" s="2" t="s">
        <v>15</v>
      </c>
      <c r="E310" s="2" t="s">
        <v>312</v>
      </c>
      <c r="F310" s="2" t="s">
        <v>1895</v>
      </c>
      <c r="G310" s="2" t="s">
        <v>1896</v>
      </c>
      <c r="H310" s="2" t="s">
        <v>47</v>
      </c>
      <c r="I310" s="2" t="s">
        <v>48</v>
      </c>
      <c r="J310" s="2" t="s">
        <v>71</v>
      </c>
      <c r="K310" s="2" t="s">
        <v>72</v>
      </c>
      <c r="L310" s="2" t="s">
        <v>1897</v>
      </c>
      <c r="M310" s="2"/>
    </row>
    <row r="311" customFormat="false" ht="23.85" hidden="false" customHeight="false" outlineLevel="0" collapsed="false">
      <c r="A311" s="2" t="s">
        <v>551</v>
      </c>
      <c r="B311" s="3" t="s">
        <v>1898</v>
      </c>
      <c r="C311" s="2" t="s">
        <v>1899</v>
      </c>
      <c r="D311" s="2" t="s">
        <v>82</v>
      </c>
      <c r="E311" s="2" t="s">
        <v>53</v>
      </c>
      <c r="F311" s="2" t="s">
        <v>1900</v>
      </c>
      <c r="G311" s="2" t="s">
        <v>1901</v>
      </c>
      <c r="H311" s="2" t="s">
        <v>211</v>
      </c>
      <c r="I311" s="2" t="s">
        <v>182</v>
      </c>
      <c r="J311" s="2" t="s">
        <v>86</v>
      </c>
      <c r="K311" s="2" t="s">
        <v>72</v>
      </c>
      <c r="L311" s="2" t="s">
        <v>1902</v>
      </c>
      <c r="M311" s="2" t="s">
        <v>1903</v>
      </c>
    </row>
    <row r="312" customFormat="false" ht="23.85" hidden="false" customHeight="false" outlineLevel="0" collapsed="false">
      <c r="A312" s="2" t="s">
        <v>1904</v>
      </c>
      <c r="B312" s="3" t="s">
        <v>1905</v>
      </c>
      <c r="C312" s="2"/>
      <c r="D312" s="2" t="s">
        <v>15</v>
      </c>
      <c r="E312" s="2" t="s">
        <v>16</v>
      </c>
      <c r="F312" s="2" t="s">
        <v>1906</v>
      </c>
      <c r="G312" s="2" t="s">
        <v>1907</v>
      </c>
      <c r="H312" s="2" t="s">
        <v>47</v>
      </c>
      <c r="I312" s="2" t="s">
        <v>85</v>
      </c>
      <c r="J312" s="2" t="s">
        <v>21</v>
      </c>
      <c r="K312" s="2" t="s">
        <v>22</v>
      </c>
      <c r="L312" s="2" t="s">
        <v>1908</v>
      </c>
      <c r="M312" s="2" t="s">
        <v>1909</v>
      </c>
    </row>
    <row r="313" customFormat="false" ht="23.85" hidden="false" customHeight="false" outlineLevel="0" collapsed="false">
      <c r="A313" s="2" t="s">
        <v>1910</v>
      </c>
      <c r="B313" s="3" t="s">
        <v>1911</v>
      </c>
      <c r="C313" s="2"/>
      <c r="D313" s="2" t="s">
        <v>82</v>
      </c>
      <c r="E313" s="2" t="s">
        <v>216</v>
      </c>
      <c r="F313" s="2" t="s">
        <v>1912</v>
      </c>
      <c r="G313" s="2" t="s">
        <v>1913</v>
      </c>
      <c r="H313" s="2" t="s">
        <v>47</v>
      </c>
      <c r="I313" s="2" t="s">
        <v>63</v>
      </c>
      <c r="J313" s="2" t="s">
        <v>21</v>
      </c>
      <c r="K313" s="2" t="s">
        <v>22</v>
      </c>
      <c r="L313" s="2" t="s">
        <v>1914</v>
      </c>
      <c r="M313" s="2"/>
    </row>
    <row r="314" customFormat="false" ht="23.85" hidden="false" customHeight="false" outlineLevel="0" collapsed="false">
      <c r="A314" s="2" t="s">
        <v>1915</v>
      </c>
      <c r="B314" s="3" t="s">
        <v>1916</v>
      </c>
      <c r="C314" s="2"/>
      <c r="D314" s="2" t="s">
        <v>82</v>
      </c>
      <c r="E314" s="2" t="s">
        <v>116</v>
      </c>
      <c r="F314" s="2" t="s">
        <v>1917</v>
      </c>
      <c r="G314" s="2" t="s">
        <v>1918</v>
      </c>
      <c r="H314" s="2" t="s">
        <v>47</v>
      </c>
      <c r="I314" s="2" t="s">
        <v>48</v>
      </c>
      <c r="J314" s="2" t="s">
        <v>71</v>
      </c>
      <c r="K314" s="2" t="s">
        <v>22</v>
      </c>
      <c r="L314" s="2" t="s">
        <v>1919</v>
      </c>
      <c r="M314" s="2"/>
    </row>
    <row r="315" customFormat="false" ht="15" hidden="false" customHeight="false" outlineLevel="0" collapsed="false">
      <c r="A315" s="2" t="s">
        <v>1920</v>
      </c>
      <c r="B315" s="3" t="s">
        <v>1921</v>
      </c>
      <c r="C315" s="2" t="s">
        <v>1922</v>
      </c>
      <c r="D315" s="2" t="s">
        <v>15</v>
      </c>
      <c r="E315" s="2" t="s">
        <v>535</v>
      </c>
      <c r="F315" s="2" t="s">
        <v>1923</v>
      </c>
      <c r="G315" s="2" t="s">
        <v>1924</v>
      </c>
      <c r="H315" s="2" t="s">
        <v>47</v>
      </c>
      <c r="I315" s="2" t="s">
        <v>48</v>
      </c>
      <c r="J315" s="2" t="s">
        <v>21</v>
      </c>
      <c r="K315" s="2" t="s">
        <v>22</v>
      </c>
      <c r="L315" s="2" t="s">
        <v>1925</v>
      </c>
      <c r="M315" s="2"/>
    </row>
    <row r="316" customFormat="false" ht="23.85" hidden="false" customHeight="false" outlineLevel="0" collapsed="false">
      <c r="A316" s="2" t="s">
        <v>1926</v>
      </c>
      <c r="B316" s="3" t="s">
        <v>1927</v>
      </c>
      <c r="C316" s="2" t="s">
        <v>1928</v>
      </c>
      <c r="D316" s="2" t="s">
        <v>15</v>
      </c>
      <c r="E316" s="2" t="s">
        <v>99</v>
      </c>
      <c r="F316" s="2" t="s">
        <v>1929</v>
      </c>
      <c r="G316" s="2" t="s">
        <v>1930</v>
      </c>
      <c r="H316" s="2" t="s">
        <v>1931</v>
      </c>
      <c r="I316" s="2" t="s">
        <v>119</v>
      </c>
      <c r="J316" s="2" t="s">
        <v>71</v>
      </c>
      <c r="K316" s="2" t="s">
        <v>72</v>
      </c>
      <c r="L316" s="2" t="s">
        <v>1932</v>
      </c>
      <c r="M316" s="2"/>
    </row>
    <row r="317" customFormat="false" ht="23.85" hidden="false" customHeight="false" outlineLevel="0" collapsed="false">
      <c r="A317" s="2" t="s">
        <v>1933</v>
      </c>
      <c r="B317" s="3" t="s">
        <v>1934</v>
      </c>
      <c r="C317" s="2" t="s">
        <v>1935</v>
      </c>
      <c r="D317" s="2" t="s">
        <v>15</v>
      </c>
      <c r="E317" s="2" t="s">
        <v>266</v>
      </c>
      <c r="F317" s="2" t="s">
        <v>1936</v>
      </c>
      <c r="G317" s="2" t="s">
        <v>1937</v>
      </c>
      <c r="H317" s="2" t="s">
        <v>47</v>
      </c>
      <c r="I317" s="2" t="s">
        <v>48</v>
      </c>
      <c r="J317" s="2" t="s">
        <v>71</v>
      </c>
      <c r="K317" s="2" t="s">
        <v>72</v>
      </c>
      <c r="L317" s="2" t="s">
        <v>1191</v>
      </c>
      <c r="M317" s="2" t="s">
        <v>1938</v>
      </c>
    </row>
    <row r="318" customFormat="false" ht="23.85" hidden="false" customHeight="false" outlineLevel="0" collapsed="false">
      <c r="A318" s="2" t="s">
        <v>1939</v>
      </c>
      <c r="B318" s="3" t="s">
        <v>1940</v>
      </c>
      <c r="C318" s="2" t="s">
        <v>1941</v>
      </c>
      <c r="D318" s="2" t="s">
        <v>238</v>
      </c>
      <c r="E318" s="2" t="s">
        <v>116</v>
      </c>
      <c r="F318" s="2" t="s">
        <v>1942</v>
      </c>
      <c r="G318" s="2" t="s">
        <v>1943</v>
      </c>
      <c r="H318" s="2" t="s">
        <v>241</v>
      </c>
      <c r="I318" s="2" t="s">
        <v>78</v>
      </c>
      <c r="J318" s="2" t="s">
        <v>71</v>
      </c>
      <c r="K318" s="2" t="s">
        <v>72</v>
      </c>
      <c r="L318" s="2" t="s">
        <v>1944</v>
      </c>
      <c r="M318" s="2"/>
    </row>
    <row r="319" customFormat="false" ht="23.85" hidden="false" customHeight="false" outlineLevel="0" collapsed="false">
      <c r="A319" s="2" t="s">
        <v>1945</v>
      </c>
      <c r="B319" s="3" t="s">
        <v>1946</v>
      </c>
      <c r="C319" s="2"/>
      <c r="D319" s="2" t="s">
        <v>238</v>
      </c>
      <c r="E319" s="2" t="s">
        <v>99</v>
      </c>
      <c r="F319" s="2" t="s">
        <v>1947</v>
      </c>
      <c r="G319" s="2" t="s">
        <v>1948</v>
      </c>
      <c r="H319" s="2" t="s">
        <v>241</v>
      </c>
      <c r="I319" s="2" t="s">
        <v>48</v>
      </c>
      <c r="J319" s="2" t="s">
        <v>21</v>
      </c>
      <c r="K319" s="2" t="s">
        <v>22</v>
      </c>
      <c r="L319" s="2" t="s">
        <v>1949</v>
      </c>
      <c r="M319" s="2"/>
    </row>
    <row r="320" customFormat="false" ht="23.85" hidden="false" customHeight="false" outlineLevel="0" collapsed="false">
      <c r="A320" s="2" t="s">
        <v>315</v>
      </c>
      <c r="B320" s="3" t="s">
        <v>1950</v>
      </c>
      <c r="C320" s="2" t="s">
        <v>1951</v>
      </c>
      <c r="D320" s="2" t="s">
        <v>15</v>
      </c>
      <c r="E320" s="2" t="s">
        <v>312</v>
      </c>
      <c r="F320" s="2" t="s">
        <v>1952</v>
      </c>
      <c r="G320" s="2" t="s">
        <v>1953</v>
      </c>
      <c r="H320" s="2" t="s">
        <v>47</v>
      </c>
      <c r="I320" s="2" t="s">
        <v>48</v>
      </c>
      <c r="J320" s="2" t="s">
        <v>71</v>
      </c>
      <c r="K320" s="2" t="s">
        <v>87</v>
      </c>
      <c r="L320" s="2" t="s">
        <v>1954</v>
      </c>
      <c r="M320" s="2"/>
    </row>
    <row r="321" customFormat="false" ht="23.85" hidden="false" customHeight="false" outlineLevel="0" collapsed="false">
      <c r="A321" s="2" t="s">
        <v>1955</v>
      </c>
      <c r="B321" s="3" t="s">
        <v>1956</v>
      </c>
      <c r="C321" s="2" t="s">
        <v>1957</v>
      </c>
      <c r="D321" s="2" t="s">
        <v>238</v>
      </c>
      <c r="E321" s="2" t="s">
        <v>99</v>
      </c>
      <c r="F321" s="2" t="s">
        <v>1958</v>
      </c>
      <c r="G321" s="2" t="s">
        <v>1959</v>
      </c>
      <c r="H321" s="2" t="s">
        <v>241</v>
      </c>
      <c r="I321" s="2" t="s">
        <v>119</v>
      </c>
      <c r="J321" s="2" t="s">
        <v>71</v>
      </c>
      <c r="K321" s="2" t="s">
        <v>72</v>
      </c>
      <c r="L321" s="2" t="s">
        <v>277</v>
      </c>
      <c r="M321" s="2" t="s">
        <v>1960</v>
      </c>
    </row>
    <row r="322" customFormat="false" ht="15" hidden="false" customHeight="false" outlineLevel="0" collapsed="false">
      <c r="A322" s="2" t="s">
        <v>1961</v>
      </c>
      <c r="B322" s="3" t="s">
        <v>1962</v>
      </c>
      <c r="C322" s="2" t="s">
        <v>1963</v>
      </c>
      <c r="D322" s="2" t="s">
        <v>59</v>
      </c>
      <c r="E322" s="2" t="s">
        <v>35</v>
      </c>
      <c r="F322" s="2" t="s">
        <v>1964</v>
      </c>
      <c r="G322" s="2" t="s">
        <v>1965</v>
      </c>
      <c r="H322" s="2" t="s">
        <v>452</v>
      </c>
      <c r="I322" s="2" t="s">
        <v>508</v>
      </c>
      <c r="J322" s="2" t="s">
        <v>86</v>
      </c>
      <c r="K322" s="2" t="s">
        <v>87</v>
      </c>
      <c r="L322" s="2" t="s">
        <v>1966</v>
      </c>
      <c r="M322" s="2"/>
    </row>
    <row r="323" customFormat="false" ht="23.85" hidden="false" customHeight="false" outlineLevel="0" collapsed="false">
      <c r="A323" s="2" t="s">
        <v>1967</v>
      </c>
      <c r="B323" s="3" t="s">
        <v>1968</v>
      </c>
      <c r="C323" s="2"/>
      <c r="D323" s="2" t="s">
        <v>52</v>
      </c>
      <c r="E323" s="2" t="s">
        <v>53</v>
      </c>
      <c r="F323" s="2" t="s">
        <v>1969</v>
      </c>
      <c r="G323" s="2" t="s">
        <v>1970</v>
      </c>
      <c r="H323" s="2"/>
      <c r="I323" s="2" t="s">
        <v>63</v>
      </c>
      <c r="J323" s="2" t="s">
        <v>21</v>
      </c>
      <c r="K323" s="2" t="s">
        <v>22</v>
      </c>
      <c r="L323" s="2" t="s">
        <v>1971</v>
      </c>
      <c r="M323" s="2"/>
    </row>
    <row r="324" customFormat="false" ht="23.85" hidden="false" customHeight="false" outlineLevel="0" collapsed="false">
      <c r="A324" s="2" t="s">
        <v>1972</v>
      </c>
      <c r="B324" s="3" t="s">
        <v>1973</v>
      </c>
      <c r="C324" s="2"/>
      <c r="D324" s="2" t="s">
        <v>15</v>
      </c>
      <c r="E324" s="2" t="s">
        <v>796</v>
      </c>
      <c r="F324" s="2" t="s">
        <v>1974</v>
      </c>
      <c r="G324" s="2" t="s">
        <v>1975</v>
      </c>
      <c r="H324" s="2" t="s">
        <v>47</v>
      </c>
      <c r="I324" s="2" t="s">
        <v>48</v>
      </c>
      <c r="J324" s="2" t="s">
        <v>71</v>
      </c>
      <c r="K324" s="2" t="s">
        <v>22</v>
      </c>
      <c r="L324" s="2" t="s">
        <v>1976</v>
      </c>
      <c r="M324" s="2"/>
    </row>
    <row r="325" customFormat="false" ht="15" hidden="false" customHeight="false" outlineLevel="0" collapsed="false">
      <c r="A325" s="2" t="s">
        <v>1977</v>
      </c>
      <c r="B325" s="3" t="s">
        <v>1978</v>
      </c>
      <c r="C325" s="2" t="s">
        <v>1979</v>
      </c>
      <c r="D325" s="2" t="s">
        <v>231</v>
      </c>
      <c r="E325" s="2" t="s">
        <v>266</v>
      </c>
      <c r="F325" s="2" t="s">
        <v>1980</v>
      </c>
      <c r="G325" s="2" t="s">
        <v>1981</v>
      </c>
      <c r="H325" s="2" t="s">
        <v>306</v>
      </c>
      <c r="I325" s="2" t="s">
        <v>29</v>
      </c>
      <c r="J325" s="2" t="s">
        <v>71</v>
      </c>
      <c r="K325" s="2" t="s">
        <v>22</v>
      </c>
      <c r="L325" s="2" t="s">
        <v>1982</v>
      </c>
      <c r="M325" s="2"/>
    </row>
    <row r="326" customFormat="false" ht="23.85" hidden="false" customHeight="false" outlineLevel="0" collapsed="false">
      <c r="A326" s="2" t="s">
        <v>1983</v>
      </c>
      <c r="B326" s="3" t="s">
        <v>1984</v>
      </c>
      <c r="C326" s="2" t="s">
        <v>1985</v>
      </c>
      <c r="D326" s="2" t="s">
        <v>59</v>
      </c>
      <c r="E326" s="2" t="s">
        <v>53</v>
      </c>
      <c r="F326" s="2" t="s">
        <v>1986</v>
      </c>
      <c r="G326" s="2" t="s">
        <v>1987</v>
      </c>
      <c r="H326" s="2" t="s">
        <v>1988</v>
      </c>
      <c r="I326" s="2" t="s">
        <v>48</v>
      </c>
      <c r="J326" s="2" t="s">
        <v>71</v>
      </c>
      <c r="K326" s="2" t="s">
        <v>22</v>
      </c>
      <c r="L326" s="2" t="s">
        <v>1989</v>
      </c>
      <c r="M326" s="2"/>
    </row>
    <row r="327" customFormat="false" ht="23.85" hidden="false" customHeight="false" outlineLevel="0" collapsed="false">
      <c r="A327" s="2" t="s">
        <v>1990</v>
      </c>
      <c r="B327" s="3" t="s">
        <v>1991</v>
      </c>
      <c r="C327" s="2" t="s">
        <v>1992</v>
      </c>
      <c r="D327" s="2" t="s">
        <v>59</v>
      </c>
      <c r="E327" s="2" t="s">
        <v>35</v>
      </c>
      <c r="F327" s="2" t="s">
        <v>1993</v>
      </c>
      <c r="G327" s="2" t="s">
        <v>1994</v>
      </c>
      <c r="H327" s="2" t="s">
        <v>452</v>
      </c>
      <c r="I327" s="2" t="s">
        <v>63</v>
      </c>
      <c r="J327" s="2" t="s">
        <v>21</v>
      </c>
      <c r="K327" s="2" t="s">
        <v>22</v>
      </c>
      <c r="L327" s="2" t="s">
        <v>1995</v>
      </c>
      <c r="M327" s="2"/>
    </row>
    <row r="328" customFormat="false" ht="15" hidden="false" customHeight="false" outlineLevel="0" collapsed="false">
      <c r="A328" s="2" t="s">
        <v>1996</v>
      </c>
      <c r="B328" s="3" t="s">
        <v>1997</v>
      </c>
      <c r="C328" s="2" t="s">
        <v>1998</v>
      </c>
      <c r="D328" s="2" t="s">
        <v>106</v>
      </c>
      <c r="E328" s="2" t="s">
        <v>569</v>
      </c>
      <c r="F328" s="2" t="s">
        <v>1999</v>
      </c>
      <c r="G328" s="2" t="s">
        <v>2000</v>
      </c>
      <c r="H328" s="2" t="s">
        <v>110</v>
      </c>
      <c r="I328" s="2" t="s">
        <v>111</v>
      </c>
      <c r="J328" s="2" t="s">
        <v>21</v>
      </c>
      <c r="K328" s="2" t="s">
        <v>22</v>
      </c>
      <c r="L328" s="2" t="s">
        <v>2001</v>
      </c>
      <c r="M328" s="2"/>
    </row>
    <row r="329" customFormat="false" ht="23.85" hidden="false" customHeight="false" outlineLevel="0" collapsed="false">
      <c r="A329" s="2" t="s">
        <v>2002</v>
      </c>
      <c r="B329" s="3" t="s">
        <v>2003</v>
      </c>
      <c r="C329" s="2"/>
      <c r="D329" s="2" t="s">
        <v>238</v>
      </c>
      <c r="E329" s="2" t="s">
        <v>99</v>
      </c>
      <c r="F329" s="2" t="s">
        <v>2004</v>
      </c>
      <c r="G329" s="2" t="s">
        <v>2005</v>
      </c>
      <c r="H329" s="2" t="s">
        <v>241</v>
      </c>
      <c r="I329" s="2" t="s">
        <v>111</v>
      </c>
      <c r="J329" s="2" t="s">
        <v>21</v>
      </c>
      <c r="K329" s="2" t="s">
        <v>22</v>
      </c>
      <c r="L329" s="2" t="s">
        <v>2006</v>
      </c>
      <c r="M329" s="2"/>
    </row>
    <row r="330" customFormat="false" ht="15" hidden="false" customHeight="false" outlineLevel="0" collapsed="false">
      <c r="A330" s="2" t="s">
        <v>2007</v>
      </c>
      <c r="B330" s="3" t="s">
        <v>2008</v>
      </c>
      <c r="C330" s="2" t="s">
        <v>2009</v>
      </c>
      <c r="D330" s="2" t="s">
        <v>82</v>
      </c>
      <c r="E330" s="2" t="s">
        <v>53</v>
      </c>
      <c r="F330" s="2" t="s">
        <v>2010</v>
      </c>
      <c r="G330" s="2" t="s">
        <v>2011</v>
      </c>
      <c r="H330" s="2" t="s">
        <v>47</v>
      </c>
      <c r="I330" s="2" t="s">
        <v>48</v>
      </c>
      <c r="J330" s="2" t="s">
        <v>71</v>
      </c>
      <c r="K330" s="2" t="s">
        <v>72</v>
      </c>
      <c r="L330" s="2" t="s">
        <v>2012</v>
      </c>
      <c r="M330" s="2"/>
    </row>
    <row r="331" customFormat="false" ht="23.85" hidden="false" customHeight="false" outlineLevel="0" collapsed="false">
      <c r="A331" s="2" t="s">
        <v>2013</v>
      </c>
      <c r="B331" s="3" t="s">
        <v>2014</v>
      </c>
      <c r="C331" s="2" t="s">
        <v>2015</v>
      </c>
      <c r="D331" s="2" t="s">
        <v>82</v>
      </c>
      <c r="E331" s="2" t="s">
        <v>741</v>
      </c>
      <c r="F331" s="2" t="s">
        <v>2016</v>
      </c>
      <c r="G331" s="2" t="s">
        <v>2017</v>
      </c>
      <c r="H331" s="2" t="s">
        <v>47</v>
      </c>
      <c r="I331" s="2" t="s">
        <v>48</v>
      </c>
      <c r="J331" s="2" t="s">
        <v>71</v>
      </c>
      <c r="K331" s="2" t="s">
        <v>72</v>
      </c>
      <c r="L331" s="2" t="s">
        <v>2018</v>
      </c>
      <c r="M331" s="2"/>
    </row>
    <row r="332" customFormat="false" ht="23.85" hidden="false" customHeight="false" outlineLevel="0" collapsed="false">
      <c r="A332" s="2" t="s">
        <v>2019</v>
      </c>
      <c r="B332" s="3" t="s">
        <v>2020</v>
      </c>
      <c r="C332" s="2" t="s">
        <v>2021</v>
      </c>
      <c r="D332" s="2" t="s">
        <v>251</v>
      </c>
      <c r="E332" s="2" t="s">
        <v>251</v>
      </c>
      <c r="F332" s="2" t="s">
        <v>2022</v>
      </c>
      <c r="G332" s="2" t="s">
        <v>2023</v>
      </c>
      <c r="H332" s="2" t="s">
        <v>255</v>
      </c>
      <c r="I332" s="2" t="s">
        <v>48</v>
      </c>
      <c r="J332" s="2" t="s">
        <v>71</v>
      </c>
      <c r="K332" s="2" t="s">
        <v>72</v>
      </c>
      <c r="L332" s="2" t="s">
        <v>2024</v>
      </c>
      <c r="M332" s="2"/>
    </row>
    <row r="333" customFormat="false" ht="15" hidden="false" customHeight="false" outlineLevel="0" collapsed="false">
      <c r="A333" s="2" t="s">
        <v>2025</v>
      </c>
      <c r="B333" s="3" t="s">
        <v>2026</v>
      </c>
      <c r="C333" s="2" t="s">
        <v>2027</v>
      </c>
      <c r="D333" s="2" t="s">
        <v>52</v>
      </c>
      <c r="E333" s="2" t="s">
        <v>691</v>
      </c>
      <c r="F333" s="2" t="s">
        <v>2028</v>
      </c>
      <c r="G333" s="2" t="s">
        <v>2029</v>
      </c>
      <c r="H333" s="2" t="s">
        <v>2030</v>
      </c>
      <c r="I333" s="2" t="s">
        <v>63</v>
      </c>
      <c r="J333" s="2" t="s">
        <v>21</v>
      </c>
      <c r="K333" s="2" t="s">
        <v>22</v>
      </c>
      <c r="L333" s="2" t="s">
        <v>2031</v>
      </c>
      <c r="M333" s="2"/>
    </row>
    <row r="334" customFormat="false" ht="23.85" hidden="false" customHeight="false" outlineLevel="0" collapsed="false">
      <c r="A334" s="2" t="s">
        <v>2032</v>
      </c>
      <c r="B334" s="3" t="s">
        <v>2033</v>
      </c>
      <c r="C334" s="2" t="s">
        <v>2034</v>
      </c>
      <c r="D334" s="2" t="s">
        <v>59</v>
      </c>
      <c r="E334" s="2" t="s">
        <v>691</v>
      </c>
      <c r="F334" s="2" t="s">
        <v>2035</v>
      </c>
      <c r="G334" s="2" t="s">
        <v>2036</v>
      </c>
      <c r="H334" s="2" t="s">
        <v>543</v>
      </c>
      <c r="I334" s="2" t="s">
        <v>48</v>
      </c>
      <c r="J334" s="2" t="s">
        <v>21</v>
      </c>
      <c r="K334" s="2" t="s">
        <v>22</v>
      </c>
      <c r="L334" s="2" t="s">
        <v>2037</v>
      </c>
      <c r="M334" s="2"/>
    </row>
    <row r="335" customFormat="false" ht="15" hidden="false" customHeight="false" outlineLevel="0" collapsed="false">
      <c r="A335" s="2" t="s">
        <v>2038</v>
      </c>
      <c r="B335" s="3" t="s">
        <v>2039</v>
      </c>
      <c r="C335" s="2" t="s">
        <v>2040</v>
      </c>
      <c r="D335" s="2" t="s">
        <v>82</v>
      </c>
      <c r="E335" s="2" t="s">
        <v>91</v>
      </c>
      <c r="F335" s="2" t="s">
        <v>2041</v>
      </c>
      <c r="G335" s="2" t="s">
        <v>2042</v>
      </c>
      <c r="H335" s="2" t="s">
        <v>211</v>
      </c>
      <c r="I335" s="2" t="s">
        <v>85</v>
      </c>
      <c r="J335" s="2" t="s">
        <v>71</v>
      </c>
      <c r="K335" s="2" t="s">
        <v>72</v>
      </c>
      <c r="L335" s="2" t="s">
        <v>2043</v>
      </c>
      <c r="M335" s="2" t="s">
        <v>2044</v>
      </c>
    </row>
    <row r="336" customFormat="false" ht="23.85" hidden="false" customHeight="false" outlineLevel="0" collapsed="false">
      <c r="A336" s="2" t="s">
        <v>2045</v>
      </c>
      <c r="B336" s="3" t="s">
        <v>2046</v>
      </c>
      <c r="C336" s="2"/>
      <c r="D336" s="2" t="s">
        <v>82</v>
      </c>
      <c r="E336" s="2" t="s">
        <v>53</v>
      </c>
      <c r="F336" s="2" t="s">
        <v>2047</v>
      </c>
      <c r="G336" s="2" t="s">
        <v>2048</v>
      </c>
      <c r="H336" s="2" t="s">
        <v>47</v>
      </c>
      <c r="I336" s="2" t="s">
        <v>182</v>
      </c>
      <c r="J336" s="2" t="s">
        <v>86</v>
      </c>
      <c r="K336" s="2" t="s">
        <v>87</v>
      </c>
      <c r="L336" s="2" t="s">
        <v>2049</v>
      </c>
      <c r="M336" s="2"/>
    </row>
    <row r="337" customFormat="false" ht="23.85" hidden="false" customHeight="false" outlineLevel="0" collapsed="false">
      <c r="A337" s="2" t="s">
        <v>2050</v>
      </c>
      <c r="B337" s="3" t="s">
        <v>2051</v>
      </c>
      <c r="C337" s="2"/>
      <c r="D337" s="2" t="s">
        <v>15</v>
      </c>
      <c r="E337" s="2" t="s">
        <v>16</v>
      </c>
      <c r="F337" s="2" t="s">
        <v>2052</v>
      </c>
      <c r="G337" s="2" t="s">
        <v>2053</v>
      </c>
      <c r="H337" s="2" t="s">
        <v>47</v>
      </c>
      <c r="I337" s="2" t="s">
        <v>138</v>
      </c>
      <c r="J337" s="2" t="s">
        <v>21</v>
      </c>
      <c r="K337" s="2" t="s">
        <v>22</v>
      </c>
      <c r="L337" s="2" t="s">
        <v>2054</v>
      </c>
      <c r="M337" s="2"/>
    </row>
    <row r="338" customFormat="false" ht="23.85" hidden="false" customHeight="false" outlineLevel="0" collapsed="false">
      <c r="A338" s="2" t="s">
        <v>2055</v>
      </c>
      <c r="B338" s="3" t="s">
        <v>2056</v>
      </c>
      <c r="C338" s="2"/>
      <c r="D338" s="2" t="s">
        <v>52</v>
      </c>
      <c r="E338" s="2" t="s">
        <v>535</v>
      </c>
      <c r="F338" s="2" t="s">
        <v>2057</v>
      </c>
      <c r="G338" s="2" t="s">
        <v>2058</v>
      </c>
      <c r="H338" s="2"/>
      <c r="I338" s="2" t="s">
        <v>48</v>
      </c>
      <c r="J338" s="2" t="s">
        <v>21</v>
      </c>
      <c r="K338" s="2" t="s">
        <v>22</v>
      </c>
      <c r="L338" s="2" t="s">
        <v>1891</v>
      </c>
      <c r="M338" s="2"/>
    </row>
    <row r="339" customFormat="false" ht="15" hidden="false" customHeight="false" outlineLevel="0" collapsed="false">
      <c r="A339" s="2" t="s">
        <v>2059</v>
      </c>
      <c r="B339" s="3" t="s">
        <v>2060</v>
      </c>
      <c r="C339" s="2" t="s">
        <v>2061</v>
      </c>
      <c r="D339" s="2" t="s">
        <v>106</v>
      </c>
      <c r="E339" s="2" t="s">
        <v>53</v>
      </c>
      <c r="F339" s="2" t="s">
        <v>2062</v>
      </c>
      <c r="G339" s="2" t="s">
        <v>2063</v>
      </c>
      <c r="H339" s="2" t="s">
        <v>288</v>
      </c>
      <c r="I339" s="2" t="s">
        <v>111</v>
      </c>
      <c r="J339" s="2" t="s">
        <v>21</v>
      </c>
      <c r="K339" s="2" t="s">
        <v>22</v>
      </c>
      <c r="L339" s="2" t="s">
        <v>2064</v>
      </c>
      <c r="M339" s="2"/>
    </row>
    <row r="340" customFormat="false" ht="23.85" hidden="false" customHeight="false" outlineLevel="0" collapsed="false">
      <c r="A340" s="2" t="s">
        <v>2065</v>
      </c>
      <c r="B340" s="3" t="s">
        <v>2066</v>
      </c>
      <c r="C340" s="2"/>
      <c r="D340" s="2" t="s">
        <v>106</v>
      </c>
      <c r="E340" s="2" t="s">
        <v>53</v>
      </c>
      <c r="F340" s="2" t="s">
        <v>2067</v>
      </c>
      <c r="G340" s="2" t="s">
        <v>2068</v>
      </c>
      <c r="H340" s="2" t="s">
        <v>110</v>
      </c>
      <c r="I340" s="2" t="s">
        <v>78</v>
      </c>
      <c r="J340" s="2" t="s">
        <v>71</v>
      </c>
      <c r="K340" s="2" t="s">
        <v>72</v>
      </c>
      <c r="L340" s="2" t="s">
        <v>2069</v>
      </c>
      <c r="M340" s="2"/>
    </row>
    <row r="341" customFormat="false" ht="23.85" hidden="false" customHeight="false" outlineLevel="0" collapsed="false">
      <c r="A341" s="2" t="s">
        <v>2070</v>
      </c>
      <c r="B341" s="3" t="s">
        <v>2071</v>
      </c>
      <c r="C341" s="2" t="s">
        <v>2072</v>
      </c>
      <c r="D341" s="2" t="s">
        <v>34</v>
      </c>
      <c r="E341" s="2" t="s">
        <v>535</v>
      </c>
      <c r="F341" s="2" t="s">
        <v>2073</v>
      </c>
      <c r="G341" s="2" t="s">
        <v>2074</v>
      </c>
      <c r="H341" s="2" t="s">
        <v>1079</v>
      </c>
      <c r="I341" s="2" t="s">
        <v>78</v>
      </c>
      <c r="J341" s="2" t="s">
        <v>21</v>
      </c>
      <c r="K341" s="2" t="s">
        <v>72</v>
      </c>
      <c r="L341" s="2" t="s">
        <v>2075</v>
      </c>
      <c r="M341" s="2" t="s">
        <v>2076</v>
      </c>
    </row>
    <row r="342" customFormat="false" ht="23.85" hidden="false" customHeight="false" outlineLevel="0" collapsed="false">
      <c r="A342" s="2" t="s">
        <v>2077</v>
      </c>
      <c r="B342" s="3" t="s">
        <v>2078</v>
      </c>
      <c r="C342" s="2"/>
      <c r="D342" s="2" t="s">
        <v>34</v>
      </c>
      <c r="E342" s="2" t="s">
        <v>2079</v>
      </c>
      <c r="F342" s="2" t="s">
        <v>2080</v>
      </c>
      <c r="G342" s="2" t="s">
        <v>2081</v>
      </c>
      <c r="H342" s="2" t="s">
        <v>288</v>
      </c>
      <c r="I342" s="2" t="s">
        <v>78</v>
      </c>
      <c r="J342" s="2" t="s">
        <v>21</v>
      </c>
      <c r="K342" s="2" t="s">
        <v>72</v>
      </c>
      <c r="L342" s="2" t="s">
        <v>2082</v>
      </c>
      <c r="M342" s="2"/>
    </row>
    <row r="343" customFormat="false" ht="23.85" hidden="false" customHeight="false" outlineLevel="0" collapsed="false">
      <c r="A343" s="2" t="s">
        <v>2083</v>
      </c>
      <c r="B343" s="3" t="s">
        <v>2084</v>
      </c>
      <c r="C343" s="2" t="s">
        <v>2085</v>
      </c>
      <c r="D343" s="2" t="s">
        <v>223</v>
      </c>
      <c r="E343" s="2" t="s">
        <v>53</v>
      </c>
      <c r="F343" s="2" t="s">
        <v>2086</v>
      </c>
      <c r="G343" s="2" t="s">
        <v>2087</v>
      </c>
      <c r="H343" s="2" t="s">
        <v>675</v>
      </c>
      <c r="I343" s="2" t="s">
        <v>182</v>
      </c>
      <c r="J343" s="2" t="s">
        <v>86</v>
      </c>
      <c r="K343" s="2" t="s">
        <v>87</v>
      </c>
      <c r="L343" s="2" t="s">
        <v>2088</v>
      </c>
      <c r="M343" s="2"/>
    </row>
    <row r="344" customFormat="false" ht="23.85" hidden="false" customHeight="false" outlineLevel="0" collapsed="false">
      <c r="A344" s="2" t="s">
        <v>2089</v>
      </c>
      <c r="B344" s="3" t="s">
        <v>2090</v>
      </c>
      <c r="C344" s="2" t="s">
        <v>2091</v>
      </c>
      <c r="D344" s="2" t="s">
        <v>59</v>
      </c>
      <c r="E344" s="2" t="s">
        <v>99</v>
      </c>
      <c r="F344" s="2" t="s">
        <v>2092</v>
      </c>
      <c r="G344" s="2" t="s">
        <v>2093</v>
      </c>
      <c r="H344" s="2" t="s">
        <v>372</v>
      </c>
      <c r="I344" s="2" t="s">
        <v>508</v>
      </c>
      <c r="J344" s="2" t="s">
        <v>86</v>
      </c>
      <c r="K344" s="2" t="s">
        <v>87</v>
      </c>
      <c r="L344" s="2" t="s">
        <v>2094</v>
      </c>
      <c r="M344" s="2"/>
    </row>
    <row r="345" customFormat="false" ht="23.85" hidden="false" customHeight="false" outlineLevel="0" collapsed="false">
      <c r="A345" s="2" t="s">
        <v>2095</v>
      </c>
      <c r="B345" s="3" t="s">
        <v>2096</v>
      </c>
      <c r="C345" s="2" t="s">
        <v>2097</v>
      </c>
      <c r="D345" s="2" t="s">
        <v>34</v>
      </c>
      <c r="E345" s="2" t="s">
        <v>53</v>
      </c>
      <c r="F345" s="2" t="s">
        <v>2098</v>
      </c>
      <c r="G345" s="2" t="s">
        <v>2099</v>
      </c>
      <c r="H345" s="2" t="s">
        <v>1288</v>
      </c>
      <c r="I345" s="2" t="s">
        <v>78</v>
      </c>
      <c r="J345" s="2" t="s">
        <v>71</v>
      </c>
      <c r="K345" s="2" t="s">
        <v>87</v>
      </c>
      <c r="L345" s="2" t="s">
        <v>2100</v>
      </c>
      <c r="M345" s="2"/>
    </row>
    <row r="346" customFormat="false" ht="23.85" hidden="false" customHeight="false" outlineLevel="0" collapsed="false">
      <c r="A346" s="2" t="s">
        <v>2101</v>
      </c>
      <c r="B346" s="3" t="s">
        <v>2102</v>
      </c>
      <c r="C346" s="2"/>
      <c r="D346" s="2" t="s">
        <v>43</v>
      </c>
      <c r="E346" s="2" t="s">
        <v>2103</v>
      </c>
      <c r="F346" s="2" t="s">
        <v>2104</v>
      </c>
      <c r="G346" s="2" t="s">
        <v>2105</v>
      </c>
      <c r="H346" s="2" t="s">
        <v>38</v>
      </c>
      <c r="I346" s="2" t="s">
        <v>78</v>
      </c>
      <c r="J346" s="2" t="s">
        <v>21</v>
      </c>
      <c r="K346" s="2" t="s">
        <v>22</v>
      </c>
      <c r="L346" s="2" t="s">
        <v>2106</v>
      </c>
      <c r="M346" s="2"/>
    </row>
    <row r="347" customFormat="false" ht="15" hidden="false" customHeight="false" outlineLevel="0" collapsed="false">
      <c r="A347" s="2" t="s">
        <v>2107</v>
      </c>
      <c r="B347" s="3" t="s">
        <v>2108</v>
      </c>
      <c r="C347" s="2"/>
      <c r="D347" s="2" t="s">
        <v>82</v>
      </c>
      <c r="E347" s="2" t="s">
        <v>266</v>
      </c>
      <c r="F347" s="2" t="s">
        <v>2109</v>
      </c>
      <c r="G347" s="2" t="s">
        <v>2110</v>
      </c>
      <c r="H347" s="2" t="s">
        <v>47</v>
      </c>
      <c r="I347" s="2" t="s">
        <v>63</v>
      </c>
      <c r="J347" s="2" t="s">
        <v>21</v>
      </c>
      <c r="K347" s="2" t="s">
        <v>22</v>
      </c>
      <c r="L347" s="2" t="s">
        <v>2111</v>
      </c>
      <c r="M347" s="2"/>
    </row>
    <row r="348" customFormat="false" ht="23.85" hidden="false" customHeight="false" outlineLevel="0" collapsed="false">
      <c r="A348" s="2" t="s">
        <v>2112</v>
      </c>
      <c r="B348" s="3" t="s">
        <v>2113</v>
      </c>
      <c r="C348" s="2"/>
      <c r="D348" s="2" t="s">
        <v>82</v>
      </c>
      <c r="E348" s="2" t="s">
        <v>216</v>
      </c>
      <c r="F348" s="2" t="s">
        <v>2114</v>
      </c>
      <c r="G348" s="2" t="s">
        <v>2115</v>
      </c>
      <c r="H348" s="2" t="s">
        <v>47</v>
      </c>
      <c r="I348" s="2" t="s">
        <v>85</v>
      </c>
      <c r="J348" s="2" t="s">
        <v>71</v>
      </c>
      <c r="K348" s="2" t="s">
        <v>22</v>
      </c>
      <c r="L348" s="2" t="s">
        <v>2116</v>
      </c>
      <c r="M348" s="2"/>
    </row>
    <row r="349" customFormat="false" ht="23.85" hidden="false" customHeight="false" outlineLevel="0" collapsed="false">
      <c r="A349" s="2" t="s">
        <v>2117</v>
      </c>
      <c r="B349" s="3" t="s">
        <v>2118</v>
      </c>
      <c r="C349" s="2" t="s">
        <v>2119</v>
      </c>
      <c r="D349" s="2" t="s">
        <v>82</v>
      </c>
      <c r="E349" s="2" t="s">
        <v>1070</v>
      </c>
      <c r="F349" s="2" t="s">
        <v>2120</v>
      </c>
      <c r="G349" s="2" t="s">
        <v>2121</v>
      </c>
      <c r="H349" s="2" t="s">
        <v>47</v>
      </c>
      <c r="I349" s="2" t="s">
        <v>20</v>
      </c>
      <c r="J349" s="2" t="s">
        <v>21</v>
      </c>
      <c r="K349" s="2" t="s">
        <v>72</v>
      </c>
      <c r="L349" s="2" t="s">
        <v>2122</v>
      </c>
      <c r="M349" s="2"/>
    </row>
    <row r="350" customFormat="false" ht="23.85" hidden="false" customHeight="false" outlineLevel="0" collapsed="false">
      <c r="A350" s="2" t="s">
        <v>2123</v>
      </c>
      <c r="B350" s="3" t="s">
        <v>2124</v>
      </c>
      <c r="C350" s="2" t="s">
        <v>2125</v>
      </c>
      <c r="D350" s="2" t="s">
        <v>15</v>
      </c>
      <c r="E350" s="2" t="s">
        <v>16</v>
      </c>
      <c r="F350" s="2" t="s">
        <v>2126</v>
      </c>
      <c r="G350" s="2" t="s">
        <v>2127</v>
      </c>
      <c r="H350" s="2" t="s">
        <v>47</v>
      </c>
      <c r="I350" s="2" t="s">
        <v>138</v>
      </c>
      <c r="J350" s="2" t="s">
        <v>21</v>
      </c>
      <c r="K350" s="2" t="s">
        <v>22</v>
      </c>
      <c r="L350" s="2" t="s">
        <v>2128</v>
      </c>
      <c r="M350" s="2"/>
    </row>
    <row r="351" customFormat="false" ht="23.85" hidden="false" customHeight="false" outlineLevel="0" collapsed="false">
      <c r="A351" s="2" t="s">
        <v>2129</v>
      </c>
      <c r="B351" s="3" t="s">
        <v>2130</v>
      </c>
      <c r="C351" s="2" t="s">
        <v>2131</v>
      </c>
      <c r="D351" s="2" t="s">
        <v>15</v>
      </c>
      <c r="E351" s="2" t="s">
        <v>796</v>
      </c>
      <c r="F351" s="2" t="s">
        <v>2132</v>
      </c>
      <c r="G351" s="2" t="s">
        <v>2133</v>
      </c>
      <c r="H351" s="2" t="s">
        <v>47</v>
      </c>
      <c r="I351" s="2" t="s">
        <v>94</v>
      </c>
      <c r="J351" s="2" t="s">
        <v>71</v>
      </c>
      <c r="K351" s="2" t="s">
        <v>72</v>
      </c>
      <c r="L351" s="2" t="s">
        <v>2134</v>
      </c>
      <c r="M351" s="2" t="s">
        <v>2135</v>
      </c>
    </row>
    <row r="352" customFormat="false" ht="23.85" hidden="false" customHeight="false" outlineLevel="0" collapsed="false">
      <c r="A352" s="2" t="s">
        <v>2136</v>
      </c>
      <c r="B352" s="3" t="s">
        <v>2137</v>
      </c>
      <c r="C352" s="2" t="s">
        <v>2138</v>
      </c>
      <c r="D352" s="2" t="s">
        <v>238</v>
      </c>
      <c r="E352" s="2" t="s">
        <v>99</v>
      </c>
      <c r="F352" s="2" t="s">
        <v>2139</v>
      </c>
      <c r="G352" s="2" t="s">
        <v>2140</v>
      </c>
      <c r="H352" s="2" t="s">
        <v>241</v>
      </c>
      <c r="I352" s="2" t="s">
        <v>119</v>
      </c>
      <c r="J352" s="2" t="s">
        <v>71</v>
      </c>
      <c r="K352" s="2" t="s">
        <v>72</v>
      </c>
      <c r="L352" s="2" t="s">
        <v>447</v>
      </c>
      <c r="M352" s="2" t="s">
        <v>2141</v>
      </c>
    </row>
    <row r="353" customFormat="false" ht="15" hidden="false" customHeight="false" outlineLevel="0" collapsed="false">
      <c r="A353" s="2" t="s">
        <v>2142</v>
      </c>
      <c r="B353" s="3" t="s">
        <v>2143</v>
      </c>
      <c r="C353" s="2"/>
      <c r="D353" s="2" t="s">
        <v>82</v>
      </c>
      <c r="E353" s="2" t="s">
        <v>266</v>
      </c>
      <c r="F353" s="2" t="s">
        <v>2144</v>
      </c>
      <c r="G353" s="2" t="s">
        <v>2145</v>
      </c>
      <c r="H353" s="2" t="s">
        <v>47</v>
      </c>
      <c r="I353" s="2" t="s">
        <v>63</v>
      </c>
      <c r="J353" s="2" t="s">
        <v>71</v>
      </c>
      <c r="K353" s="2" t="s">
        <v>72</v>
      </c>
      <c r="L353" s="2" t="s">
        <v>763</v>
      </c>
      <c r="M353" s="2"/>
    </row>
    <row r="354" customFormat="false" ht="15" hidden="false" customHeight="false" outlineLevel="0" collapsed="false">
      <c r="A354" s="2" t="s">
        <v>2146</v>
      </c>
      <c r="B354" s="3" t="s">
        <v>2147</v>
      </c>
      <c r="C354" s="2" t="s">
        <v>2148</v>
      </c>
      <c r="D354" s="2" t="s">
        <v>52</v>
      </c>
      <c r="E354" s="2" t="s">
        <v>53</v>
      </c>
      <c r="F354" s="2" t="s">
        <v>2149</v>
      </c>
      <c r="G354" s="2" t="s">
        <v>2150</v>
      </c>
      <c r="H354" s="2" t="s">
        <v>2151</v>
      </c>
      <c r="I354" s="2" t="s">
        <v>48</v>
      </c>
      <c r="J354" s="2" t="s">
        <v>21</v>
      </c>
      <c r="K354" s="2" t="s">
        <v>22</v>
      </c>
      <c r="L354" s="2" t="s">
        <v>2152</v>
      </c>
      <c r="M354" s="2"/>
    </row>
    <row r="355" customFormat="false" ht="15" hidden="false" customHeight="false" outlineLevel="0" collapsed="false">
      <c r="A355" s="2" t="s">
        <v>2153</v>
      </c>
      <c r="B355" s="3" t="s">
        <v>2154</v>
      </c>
      <c r="C355" s="2" t="s">
        <v>2155</v>
      </c>
      <c r="D355" s="2" t="s">
        <v>15</v>
      </c>
      <c r="E355" s="2" t="s">
        <v>16</v>
      </c>
      <c r="F355" s="2" t="s">
        <v>2156</v>
      </c>
      <c r="G355" s="2" t="s">
        <v>2157</v>
      </c>
      <c r="H355" s="2" t="s">
        <v>675</v>
      </c>
      <c r="I355" s="2" t="s">
        <v>508</v>
      </c>
      <c r="J355" s="2" t="s">
        <v>86</v>
      </c>
      <c r="K355" s="2" t="s">
        <v>72</v>
      </c>
      <c r="L355" s="2" t="s">
        <v>1549</v>
      </c>
      <c r="M355" s="2"/>
    </row>
    <row r="356" customFormat="false" ht="15" hidden="false" customHeight="false" outlineLevel="0" collapsed="false">
      <c r="A356" s="2" t="s">
        <v>2158</v>
      </c>
      <c r="B356" s="3" t="s">
        <v>2159</v>
      </c>
      <c r="C356" s="2" t="s">
        <v>2160</v>
      </c>
      <c r="D356" s="2" t="s">
        <v>251</v>
      </c>
      <c r="E356" s="2" t="s">
        <v>251</v>
      </c>
      <c r="F356" s="2" t="s">
        <v>2161</v>
      </c>
      <c r="G356" s="2" t="s">
        <v>2162</v>
      </c>
      <c r="H356" s="2" t="s">
        <v>255</v>
      </c>
      <c r="I356" s="2" t="s">
        <v>48</v>
      </c>
      <c r="J356" s="2" t="s">
        <v>71</v>
      </c>
      <c r="K356" s="2" t="s">
        <v>72</v>
      </c>
      <c r="L356" s="2" t="s">
        <v>2163</v>
      </c>
      <c r="M356" s="2"/>
    </row>
    <row r="357" customFormat="false" ht="23.85" hidden="false" customHeight="false" outlineLevel="0" collapsed="false">
      <c r="A357" s="2" t="s">
        <v>247</v>
      </c>
      <c r="B357" s="3" t="s">
        <v>2164</v>
      </c>
      <c r="C357" s="2" t="s">
        <v>2165</v>
      </c>
      <c r="D357" s="2" t="s">
        <v>238</v>
      </c>
      <c r="E357" s="2" t="s">
        <v>53</v>
      </c>
      <c r="F357" s="2" t="s">
        <v>2166</v>
      </c>
      <c r="G357" s="2" t="s">
        <v>2167</v>
      </c>
      <c r="H357" s="2" t="s">
        <v>241</v>
      </c>
      <c r="I357" s="2" t="s">
        <v>78</v>
      </c>
      <c r="J357" s="2" t="s">
        <v>71</v>
      </c>
      <c r="K357" s="2" t="s">
        <v>22</v>
      </c>
      <c r="L357" s="2" t="s">
        <v>2168</v>
      </c>
      <c r="M357" s="2"/>
    </row>
    <row r="358" customFormat="false" ht="15" hidden="false" customHeight="false" outlineLevel="0" collapsed="false">
      <c r="A358" s="2" t="s">
        <v>2169</v>
      </c>
      <c r="B358" s="3" t="s">
        <v>2170</v>
      </c>
      <c r="C358" s="2" t="s">
        <v>2171</v>
      </c>
      <c r="D358" s="2" t="s">
        <v>59</v>
      </c>
      <c r="E358" s="2" t="s">
        <v>35</v>
      </c>
      <c r="F358" s="2" t="s">
        <v>2172</v>
      </c>
      <c r="G358" s="2" t="s">
        <v>2173</v>
      </c>
      <c r="H358" s="2" t="s">
        <v>452</v>
      </c>
      <c r="I358" s="2" t="s">
        <v>85</v>
      </c>
      <c r="J358" s="2" t="s">
        <v>86</v>
      </c>
      <c r="K358" s="2" t="s">
        <v>72</v>
      </c>
      <c r="L358" s="2" t="s">
        <v>2174</v>
      </c>
      <c r="M358" s="2"/>
    </row>
    <row r="359" customFormat="false" ht="23.85" hidden="false" customHeight="false" outlineLevel="0" collapsed="false">
      <c r="A359" s="2" t="s">
        <v>2175</v>
      </c>
      <c r="B359" s="3" t="s">
        <v>2176</v>
      </c>
      <c r="C359" s="2" t="s">
        <v>2177</v>
      </c>
      <c r="D359" s="2" t="s">
        <v>238</v>
      </c>
      <c r="E359" s="2" t="s">
        <v>216</v>
      </c>
      <c r="F359" s="2" t="s">
        <v>2178</v>
      </c>
      <c r="G359" s="2" t="s">
        <v>2179</v>
      </c>
      <c r="H359" s="2" t="s">
        <v>241</v>
      </c>
      <c r="I359" s="2" t="s">
        <v>20</v>
      </c>
      <c r="J359" s="2" t="s">
        <v>71</v>
      </c>
      <c r="K359" s="2" t="s">
        <v>72</v>
      </c>
      <c r="L359" s="2" t="s">
        <v>2180</v>
      </c>
      <c r="M359" s="2" t="s">
        <v>2181</v>
      </c>
    </row>
    <row r="360" customFormat="false" ht="23.85" hidden="false" customHeight="false" outlineLevel="0" collapsed="false">
      <c r="A360" s="2" t="s">
        <v>2182</v>
      </c>
      <c r="B360" s="3" t="s">
        <v>2183</v>
      </c>
      <c r="C360" s="2"/>
      <c r="D360" s="2" t="s">
        <v>82</v>
      </c>
      <c r="E360" s="2" t="s">
        <v>216</v>
      </c>
      <c r="F360" s="2" t="s">
        <v>2184</v>
      </c>
      <c r="G360" s="2" t="s">
        <v>2185</v>
      </c>
      <c r="H360" s="2" t="s">
        <v>47</v>
      </c>
      <c r="I360" s="2" t="s">
        <v>85</v>
      </c>
      <c r="J360" s="2" t="s">
        <v>71</v>
      </c>
      <c r="K360" s="2" t="s">
        <v>22</v>
      </c>
      <c r="L360" s="2" t="s">
        <v>2186</v>
      </c>
      <c r="M360" s="2"/>
    </row>
    <row r="361" customFormat="false" ht="15" hidden="false" customHeight="false" outlineLevel="0" collapsed="false">
      <c r="A361" s="2" t="s">
        <v>2187</v>
      </c>
      <c r="B361" s="3" t="s">
        <v>2188</v>
      </c>
      <c r="C361" s="2" t="s">
        <v>2189</v>
      </c>
      <c r="D361" s="2" t="s">
        <v>15</v>
      </c>
      <c r="E361" s="2" t="s">
        <v>884</v>
      </c>
      <c r="F361" s="2" t="s">
        <v>2190</v>
      </c>
      <c r="G361" s="2" t="s">
        <v>2191</v>
      </c>
      <c r="H361" s="2" t="s">
        <v>47</v>
      </c>
      <c r="I361" s="2" t="s">
        <v>85</v>
      </c>
      <c r="J361" s="2" t="s">
        <v>71</v>
      </c>
      <c r="K361" s="2" t="s">
        <v>22</v>
      </c>
      <c r="L361" s="2" t="s">
        <v>2192</v>
      </c>
      <c r="M361" s="2"/>
    </row>
    <row r="362" customFormat="false" ht="23.85" hidden="false" customHeight="false" outlineLevel="0" collapsed="false">
      <c r="A362" s="2" t="s">
        <v>2193</v>
      </c>
      <c r="B362" s="3" t="s">
        <v>2194</v>
      </c>
      <c r="C362" s="2"/>
      <c r="D362" s="2" t="s">
        <v>15</v>
      </c>
      <c r="E362" s="2" t="s">
        <v>2195</v>
      </c>
      <c r="F362" s="2" t="s">
        <v>2196</v>
      </c>
      <c r="G362" s="2" t="s">
        <v>2197</v>
      </c>
      <c r="H362" s="2"/>
      <c r="I362" s="2" t="s">
        <v>94</v>
      </c>
      <c r="J362" s="2" t="s">
        <v>86</v>
      </c>
      <c r="K362" s="2" t="s">
        <v>22</v>
      </c>
      <c r="L362" s="2"/>
      <c r="M362" s="2"/>
    </row>
    <row r="363" customFormat="false" ht="23.85" hidden="false" customHeight="false" outlineLevel="0" collapsed="false">
      <c r="A363" s="2" t="s">
        <v>2198</v>
      </c>
      <c r="B363" s="3" t="s">
        <v>2199</v>
      </c>
      <c r="C363" s="2" t="s">
        <v>2200</v>
      </c>
      <c r="D363" s="2" t="s">
        <v>238</v>
      </c>
      <c r="E363" s="2" t="s">
        <v>2201</v>
      </c>
      <c r="F363" s="2" t="s">
        <v>2202</v>
      </c>
      <c r="G363" s="2" t="s">
        <v>2203</v>
      </c>
      <c r="H363" s="2" t="s">
        <v>241</v>
      </c>
      <c r="I363" s="2" t="s">
        <v>256</v>
      </c>
      <c r="J363" s="2" t="s">
        <v>21</v>
      </c>
      <c r="K363" s="2" t="s">
        <v>22</v>
      </c>
      <c r="L363" s="2" t="s">
        <v>2204</v>
      </c>
      <c r="M363" s="2"/>
    </row>
    <row r="364" customFormat="false" ht="15" hidden="false" customHeight="false" outlineLevel="0" collapsed="false">
      <c r="A364" s="2" t="s">
        <v>2205</v>
      </c>
      <c r="B364" s="3" t="s">
        <v>2206</v>
      </c>
      <c r="C364" s="2" t="s">
        <v>2207</v>
      </c>
      <c r="D364" s="2" t="s">
        <v>15</v>
      </c>
      <c r="E364" s="2" t="s">
        <v>99</v>
      </c>
      <c r="F364" s="2" t="s">
        <v>2208</v>
      </c>
      <c r="G364" s="2" t="s">
        <v>2209</v>
      </c>
      <c r="H364" s="2"/>
      <c r="I364" s="2" t="s">
        <v>111</v>
      </c>
      <c r="J364" s="2" t="s">
        <v>71</v>
      </c>
      <c r="K364" s="2" t="s">
        <v>72</v>
      </c>
      <c r="L364" s="2" t="s">
        <v>2210</v>
      </c>
      <c r="M364" s="2"/>
    </row>
    <row r="365" customFormat="false" ht="15" hidden="false" customHeight="false" outlineLevel="0" collapsed="false">
      <c r="A365" s="2" t="s">
        <v>2211</v>
      </c>
      <c r="B365" s="3" t="s">
        <v>2212</v>
      </c>
      <c r="C365" s="2" t="s">
        <v>2213</v>
      </c>
      <c r="D365" s="2" t="s">
        <v>238</v>
      </c>
      <c r="E365" s="2" t="s">
        <v>789</v>
      </c>
      <c r="F365" s="2" t="s">
        <v>2214</v>
      </c>
      <c r="G365" s="2" t="s">
        <v>2215</v>
      </c>
      <c r="H365" s="2"/>
      <c r="I365" s="2" t="s">
        <v>94</v>
      </c>
      <c r="J365" s="2" t="s">
        <v>86</v>
      </c>
      <c r="K365" s="2" t="s">
        <v>72</v>
      </c>
      <c r="L365" s="2" t="s">
        <v>2216</v>
      </c>
      <c r="M365" s="2"/>
    </row>
    <row r="366" customFormat="false" ht="23.85" hidden="false" customHeight="false" outlineLevel="0" collapsed="false">
      <c r="A366" s="2" t="s">
        <v>2217</v>
      </c>
      <c r="B366" s="3" t="s">
        <v>2218</v>
      </c>
      <c r="C366" s="2" t="s">
        <v>2219</v>
      </c>
      <c r="D366" s="2" t="s">
        <v>15</v>
      </c>
      <c r="E366" s="2" t="s">
        <v>312</v>
      </c>
      <c r="F366" s="2" t="s">
        <v>2220</v>
      </c>
      <c r="G366" s="2" t="s">
        <v>2221</v>
      </c>
      <c r="H366" s="2" t="s">
        <v>47</v>
      </c>
      <c r="I366" s="2" t="s">
        <v>63</v>
      </c>
      <c r="J366" s="2" t="s">
        <v>71</v>
      </c>
      <c r="K366" s="2" t="s">
        <v>22</v>
      </c>
      <c r="L366" s="2" t="s">
        <v>2222</v>
      </c>
      <c r="M366" s="2"/>
    </row>
    <row r="367" customFormat="false" ht="15" hidden="false" customHeight="false" outlineLevel="0" collapsed="false">
      <c r="A367" s="2" t="s">
        <v>2223</v>
      </c>
      <c r="B367" s="3" t="s">
        <v>2224</v>
      </c>
      <c r="C367" s="2"/>
      <c r="D367" s="2" t="s">
        <v>15</v>
      </c>
      <c r="E367" s="2" t="s">
        <v>312</v>
      </c>
      <c r="F367" s="2" t="s">
        <v>2225</v>
      </c>
      <c r="G367" s="2" t="s">
        <v>2226</v>
      </c>
      <c r="H367" s="2" t="s">
        <v>47</v>
      </c>
      <c r="I367" s="2" t="s">
        <v>48</v>
      </c>
      <c r="J367" s="2" t="s">
        <v>21</v>
      </c>
      <c r="K367" s="2" t="s">
        <v>22</v>
      </c>
      <c r="L367" s="2" t="s">
        <v>2227</v>
      </c>
      <c r="M367" s="2"/>
    </row>
    <row r="368" customFormat="false" ht="15" hidden="false" customHeight="false" outlineLevel="0" collapsed="false">
      <c r="A368" s="2" t="s">
        <v>2228</v>
      </c>
      <c r="B368" s="3" t="s">
        <v>2229</v>
      </c>
      <c r="C368" s="2" t="s">
        <v>2230</v>
      </c>
      <c r="D368" s="2" t="s">
        <v>59</v>
      </c>
      <c r="E368" s="2" t="s">
        <v>53</v>
      </c>
      <c r="F368" s="2" t="s">
        <v>2231</v>
      </c>
      <c r="G368" s="2" t="s">
        <v>2232</v>
      </c>
      <c r="H368" s="2" t="s">
        <v>543</v>
      </c>
      <c r="I368" s="2" t="s">
        <v>63</v>
      </c>
      <c r="J368" s="2" t="s">
        <v>71</v>
      </c>
      <c r="K368" s="2" t="s">
        <v>72</v>
      </c>
      <c r="L368" s="2" t="s">
        <v>2233</v>
      </c>
      <c r="M368" s="2"/>
    </row>
    <row r="369" customFormat="false" ht="23.85" hidden="false" customHeight="false" outlineLevel="0" collapsed="false">
      <c r="A369" s="2" t="s">
        <v>2234</v>
      </c>
      <c r="B369" s="3" t="s">
        <v>2235</v>
      </c>
      <c r="C369" s="2"/>
      <c r="D369" s="2" t="s">
        <v>238</v>
      </c>
      <c r="E369" s="2" t="s">
        <v>53</v>
      </c>
      <c r="F369" s="2" t="s">
        <v>2236</v>
      </c>
      <c r="G369" s="2" t="s">
        <v>2237</v>
      </c>
      <c r="H369" s="2" t="s">
        <v>241</v>
      </c>
      <c r="I369" s="2" t="s">
        <v>48</v>
      </c>
      <c r="J369" s="2" t="s">
        <v>71</v>
      </c>
      <c r="K369" s="2" t="s">
        <v>22</v>
      </c>
      <c r="L369" s="2" t="s">
        <v>2238</v>
      </c>
      <c r="M369" s="2"/>
    </row>
    <row r="370" customFormat="false" ht="15" hidden="false" customHeight="false" outlineLevel="0" collapsed="false">
      <c r="A370" s="2" t="s">
        <v>2239</v>
      </c>
      <c r="B370" s="3" t="s">
        <v>2240</v>
      </c>
      <c r="C370" s="2" t="s">
        <v>2241</v>
      </c>
      <c r="D370" s="2" t="s">
        <v>15</v>
      </c>
      <c r="E370" s="2" t="s">
        <v>16</v>
      </c>
      <c r="F370" s="2" t="s">
        <v>2242</v>
      </c>
      <c r="G370" s="2" t="s">
        <v>2243</v>
      </c>
      <c r="H370" s="2" t="s">
        <v>47</v>
      </c>
      <c r="I370" s="2" t="s">
        <v>94</v>
      </c>
      <c r="J370" s="2" t="s">
        <v>86</v>
      </c>
      <c r="K370" s="2" t="s">
        <v>72</v>
      </c>
      <c r="L370" s="2" t="s">
        <v>2244</v>
      </c>
      <c r="M370" s="2"/>
    </row>
    <row r="371" customFormat="false" ht="15" hidden="false" customHeight="false" outlineLevel="0" collapsed="false">
      <c r="A371" s="2" t="s">
        <v>2245</v>
      </c>
      <c r="B371" s="3" t="s">
        <v>2246</v>
      </c>
      <c r="C371" s="2"/>
      <c r="D371" s="2" t="s">
        <v>238</v>
      </c>
      <c r="E371" s="2" t="s">
        <v>53</v>
      </c>
      <c r="F371" s="2" t="s">
        <v>2247</v>
      </c>
      <c r="G371" s="2" t="s">
        <v>2248</v>
      </c>
      <c r="H371" s="2" t="s">
        <v>241</v>
      </c>
      <c r="I371" s="2" t="s">
        <v>256</v>
      </c>
      <c r="J371" s="2" t="s">
        <v>21</v>
      </c>
      <c r="K371" s="2" t="s">
        <v>22</v>
      </c>
      <c r="L371" s="2" t="s">
        <v>2249</v>
      </c>
      <c r="M371" s="2"/>
    </row>
    <row r="372" customFormat="false" ht="23.85" hidden="false" customHeight="false" outlineLevel="0" collapsed="false">
      <c r="A372" s="2" t="s">
        <v>2250</v>
      </c>
      <c r="B372" s="3" t="s">
        <v>2251</v>
      </c>
      <c r="C372" s="2"/>
      <c r="D372" s="2" t="s">
        <v>238</v>
      </c>
      <c r="E372" s="2" t="s">
        <v>91</v>
      </c>
      <c r="F372" s="2" t="s">
        <v>2252</v>
      </c>
      <c r="G372" s="2" t="s">
        <v>2253</v>
      </c>
      <c r="H372" s="2" t="s">
        <v>241</v>
      </c>
      <c r="I372" s="2" t="s">
        <v>94</v>
      </c>
      <c r="J372" s="2" t="s">
        <v>71</v>
      </c>
      <c r="K372" s="2" t="s">
        <v>72</v>
      </c>
      <c r="L372" s="2" t="s">
        <v>2254</v>
      </c>
      <c r="M372" s="2"/>
    </row>
    <row r="373" customFormat="false" ht="23.85" hidden="false" customHeight="false" outlineLevel="0" collapsed="false">
      <c r="A373" s="2" t="s">
        <v>384</v>
      </c>
      <c r="B373" s="3" t="s">
        <v>2255</v>
      </c>
      <c r="C373" s="2" t="s">
        <v>2256</v>
      </c>
      <c r="D373" s="2" t="s">
        <v>106</v>
      </c>
      <c r="E373" s="2" t="s">
        <v>53</v>
      </c>
      <c r="F373" s="2" t="s">
        <v>2257</v>
      </c>
      <c r="G373" s="2" t="s">
        <v>2258</v>
      </c>
      <c r="H373" s="2"/>
      <c r="I373" s="2" t="s">
        <v>20</v>
      </c>
      <c r="J373" s="2" t="s">
        <v>71</v>
      </c>
      <c r="K373" s="2" t="s">
        <v>72</v>
      </c>
      <c r="L373" s="2" t="s">
        <v>2259</v>
      </c>
      <c r="M373" s="2"/>
    </row>
    <row r="374" customFormat="false" ht="15" hidden="false" customHeight="false" outlineLevel="0" collapsed="false">
      <c r="A374" s="2" t="s">
        <v>2260</v>
      </c>
      <c r="B374" s="3" t="s">
        <v>2261</v>
      </c>
      <c r="C374" s="2" t="s">
        <v>2262</v>
      </c>
      <c r="D374" s="2" t="s">
        <v>15</v>
      </c>
      <c r="E374" s="2" t="s">
        <v>574</v>
      </c>
      <c r="F374" s="2" t="s">
        <v>2263</v>
      </c>
      <c r="G374" s="2" t="s">
        <v>2264</v>
      </c>
      <c r="H374" s="2" t="s">
        <v>47</v>
      </c>
      <c r="I374" s="2" t="s">
        <v>85</v>
      </c>
      <c r="J374" s="2" t="s">
        <v>71</v>
      </c>
      <c r="K374" s="2" t="s">
        <v>22</v>
      </c>
      <c r="L374" s="2" t="s">
        <v>2265</v>
      </c>
      <c r="M374" s="2"/>
    </row>
    <row r="375" customFormat="false" ht="23.85" hidden="false" customHeight="false" outlineLevel="0" collapsed="false">
      <c r="A375" s="2" t="s">
        <v>2266</v>
      </c>
      <c r="B375" s="3" t="s">
        <v>2267</v>
      </c>
      <c r="C375" s="2"/>
      <c r="D375" s="2" t="s">
        <v>179</v>
      </c>
      <c r="E375" s="2" t="s">
        <v>252</v>
      </c>
      <c r="F375" s="2" t="s">
        <v>2268</v>
      </c>
      <c r="G375" s="2" t="s">
        <v>2269</v>
      </c>
      <c r="H375" s="2"/>
      <c r="I375" s="2" t="s">
        <v>256</v>
      </c>
      <c r="J375" s="2" t="s">
        <v>21</v>
      </c>
      <c r="K375" s="2" t="s">
        <v>22</v>
      </c>
      <c r="L375" s="2" t="s">
        <v>2270</v>
      </c>
      <c r="M375" s="2"/>
    </row>
    <row r="376" customFormat="false" ht="23.85" hidden="false" customHeight="false" outlineLevel="0" collapsed="false">
      <c r="A376" s="2" t="s">
        <v>2271</v>
      </c>
      <c r="B376" s="3" t="s">
        <v>2272</v>
      </c>
      <c r="C376" s="2" t="s">
        <v>2273</v>
      </c>
      <c r="D376" s="2" t="s">
        <v>59</v>
      </c>
      <c r="E376" s="2" t="s">
        <v>53</v>
      </c>
      <c r="F376" s="2" t="s">
        <v>2274</v>
      </c>
      <c r="G376" s="2" t="s">
        <v>2275</v>
      </c>
      <c r="H376" s="2" t="s">
        <v>1988</v>
      </c>
      <c r="I376" s="2" t="s">
        <v>182</v>
      </c>
      <c r="J376" s="2" t="s">
        <v>86</v>
      </c>
      <c r="K376" s="2" t="s">
        <v>87</v>
      </c>
      <c r="L376" s="2" t="s">
        <v>2276</v>
      </c>
      <c r="M376" s="2"/>
    </row>
    <row r="377" customFormat="false" ht="23.85" hidden="false" customHeight="false" outlineLevel="0" collapsed="false">
      <c r="A377" s="2" t="s">
        <v>2277</v>
      </c>
      <c r="B377" s="3" t="s">
        <v>2278</v>
      </c>
      <c r="C377" s="2"/>
      <c r="D377" s="2" t="s">
        <v>179</v>
      </c>
      <c r="E377" s="2" t="s">
        <v>53</v>
      </c>
      <c r="F377" s="2" t="s">
        <v>2279</v>
      </c>
      <c r="G377" s="2" t="s">
        <v>2280</v>
      </c>
      <c r="H377" s="2" t="s">
        <v>47</v>
      </c>
      <c r="I377" s="2" t="s">
        <v>20</v>
      </c>
      <c r="J377" s="2" t="s">
        <v>86</v>
      </c>
      <c r="K377" s="2" t="s">
        <v>72</v>
      </c>
      <c r="L377" s="2" t="s">
        <v>2281</v>
      </c>
      <c r="M377" s="2"/>
    </row>
    <row r="378" customFormat="false" ht="15" hidden="false" customHeight="false" outlineLevel="0" collapsed="false">
      <c r="A378" s="2" t="s">
        <v>2282</v>
      </c>
      <c r="B378" s="3" t="s">
        <v>2283</v>
      </c>
      <c r="C378" s="2" t="s">
        <v>2284</v>
      </c>
      <c r="D378" s="2" t="s">
        <v>15</v>
      </c>
      <c r="E378" s="2" t="s">
        <v>16</v>
      </c>
      <c r="F378" s="2" t="s">
        <v>2285</v>
      </c>
      <c r="G378" s="2" t="s">
        <v>2286</v>
      </c>
      <c r="H378" s="2" t="s">
        <v>47</v>
      </c>
      <c r="I378" s="2" t="s">
        <v>94</v>
      </c>
      <c r="J378" s="2" t="s">
        <v>71</v>
      </c>
      <c r="K378" s="2" t="s">
        <v>72</v>
      </c>
      <c r="L378" s="2" t="s">
        <v>2287</v>
      </c>
      <c r="M378" s="2"/>
    </row>
    <row r="379" customFormat="false" ht="23.85" hidden="false" customHeight="false" outlineLevel="0" collapsed="false">
      <c r="A379" s="2" t="s">
        <v>2288</v>
      </c>
      <c r="B379" s="3" t="s">
        <v>2289</v>
      </c>
      <c r="C379" s="2" t="s">
        <v>2290</v>
      </c>
      <c r="D379" s="2" t="s">
        <v>15</v>
      </c>
      <c r="E379" s="2" t="s">
        <v>16</v>
      </c>
      <c r="F379" s="2" t="s">
        <v>2291</v>
      </c>
      <c r="G379" s="2" t="s">
        <v>2292</v>
      </c>
      <c r="H379" s="2" t="s">
        <v>47</v>
      </c>
      <c r="I379" s="2" t="s">
        <v>20</v>
      </c>
      <c r="J379" s="2" t="s">
        <v>21</v>
      </c>
      <c r="K379" s="2" t="s">
        <v>72</v>
      </c>
      <c r="L379" s="2" t="s">
        <v>2293</v>
      </c>
      <c r="M379" s="2" t="s">
        <v>2294</v>
      </c>
    </row>
    <row r="380" customFormat="false" ht="15" hidden="false" customHeight="false" outlineLevel="0" collapsed="false">
      <c r="A380" s="2" t="s">
        <v>2295</v>
      </c>
      <c r="B380" s="3" t="s">
        <v>2296</v>
      </c>
      <c r="C380" s="2"/>
      <c r="D380" s="2" t="s">
        <v>223</v>
      </c>
      <c r="E380" s="2" t="s">
        <v>53</v>
      </c>
      <c r="F380" s="2" t="s">
        <v>2297</v>
      </c>
      <c r="G380" s="2" t="s">
        <v>2298</v>
      </c>
      <c r="H380" s="2" t="s">
        <v>28</v>
      </c>
      <c r="I380" s="2" t="s">
        <v>29</v>
      </c>
      <c r="J380" s="2" t="s">
        <v>71</v>
      </c>
      <c r="K380" s="2" t="s">
        <v>22</v>
      </c>
      <c r="L380" s="2" t="s">
        <v>2299</v>
      </c>
      <c r="M380" s="2"/>
    </row>
    <row r="381" customFormat="false" ht="15" hidden="false" customHeight="false" outlineLevel="0" collapsed="false">
      <c r="A381" s="2" t="s">
        <v>2300</v>
      </c>
      <c r="B381" s="3" t="s">
        <v>2301</v>
      </c>
      <c r="C381" s="2"/>
      <c r="D381" s="2" t="s">
        <v>34</v>
      </c>
      <c r="E381" s="2" t="s">
        <v>16</v>
      </c>
      <c r="F381" s="2" t="s">
        <v>2302</v>
      </c>
      <c r="G381" s="2" t="s">
        <v>2303</v>
      </c>
      <c r="H381" s="2" t="s">
        <v>38</v>
      </c>
      <c r="I381" s="2" t="s">
        <v>63</v>
      </c>
      <c r="J381" s="2" t="s">
        <v>21</v>
      </c>
      <c r="K381" s="2" t="s">
        <v>22</v>
      </c>
      <c r="L381" s="2" t="s">
        <v>2304</v>
      </c>
      <c r="M381" s="2"/>
    </row>
    <row r="382" customFormat="false" ht="23.85" hidden="false" customHeight="false" outlineLevel="0" collapsed="false">
      <c r="A382" s="2" t="s">
        <v>2305</v>
      </c>
      <c r="B382" s="3" t="s">
        <v>2306</v>
      </c>
      <c r="C382" s="2" t="s">
        <v>2307</v>
      </c>
      <c r="D382" s="2" t="s">
        <v>15</v>
      </c>
      <c r="E382" s="2" t="s">
        <v>99</v>
      </c>
      <c r="F382" s="2" t="s">
        <v>2308</v>
      </c>
      <c r="G382" s="2" t="s">
        <v>2309</v>
      </c>
      <c r="H382" s="2" t="s">
        <v>47</v>
      </c>
      <c r="I382" s="2" t="s">
        <v>138</v>
      </c>
      <c r="J382" s="2" t="s">
        <v>71</v>
      </c>
      <c r="K382" s="2" t="s">
        <v>72</v>
      </c>
      <c r="L382" s="2" t="s">
        <v>2310</v>
      </c>
      <c r="M382" s="2"/>
    </row>
    <row r="383" customFormat="false" ht="15" hidden="false" customHeight="false" outlineLevel="0" collapsed="false">
      <c r="A383" s="2" t="s">
        <v>2311</v>
      </c>
      <c r="B383" s="3" t="s">
        <v>2312</v>
      </c>
      <c r="C383" s="2"/>
      <c r="D383" s="2" t="s">
        <v>106</v>
      </c>
      <c r="E383" s="2" t="s">
        <v>53</v>
      </c>
      <c r="F383" s="2" t="s">
        <v>2313</v>
      </c>
      <c r="G383" s="2" t="s">
        <v>2314</v>
      </c>
      <c r="H383" s="2" t="s">
        <v>110</v>
      </c>
      <c r="I383" s="2" t="s">
        <v>256</v>
      </c>
      <c r="J383" s="2" t="s">
        <v>21</v>
      </c>
      <c r="K383" s="2" t="s">
        <v>22</v>
      </c>
      <c r="L383" s="2" t="s">
        <v>2315</v>
      </c>
      <c r="M383" s="2"/>
    </row>
    <row r="384" customFormat="false" ht="23.85" hidden="false" customHeight="false" outlineLevel="0" collapsed="false">
      <c r="A384" s="2" t="s">
        <v>2316</v>
      </c>
      <c r="B384" s="3" t="s">
        <v>2317</v>
      </c>
      <c r="C384" s="2" t="s">
        <v>2318</v>
      </c>
      <c r="D384" s="2" t="s">
        <v>82</v>
      </c>
      <c r="E384" s="2" t="s">
        <v>216</v>
      </c>
      <c r="F384" s="2" t="s">
        <v>2319</v>
      </c>
      <c r="G384" s="2" t="s">
        <v>2320</v>
      </c>
      <c r="H384" s="2" t="s">
        <v>47</v>
      </c>
      <c r="I384" s="2" t="s">
        <v>85</v>
      </c>
      <c r="J384" s="2" t="s">
        <v>86</v>
      </c>
      <c r="K384" s="2" t="s">
        <v>72</v>
      </c>
      <c r="L384" s="2" t="s">
        <v>2321</v>
      </c>
      <c r="M384" s="2"/>
    </row>
    <row r="385" customFormat="false" ht="23.85" hidden="false" customHeight="false" outlineLevel="0" collapsed="false">
      <c r="A385" s="2" t="s">
        <v>2322</v>
      </c>
      <c r="B385" s="3" t="s">
        <v>2323</v>
      </c>
      <c r="C385" s="2"/>
      <c r="D385" s="2" t="s">
        <v>15</v>
      </c>
      <c r="E385" s="2" t="s">
        <v>216</v>
      </c>
      <c r="F385" s="2" t="s">
        <v>2324</v>
      </c>
      <c r="G385" s="2" t="s">
        <v>2325</v>
      </c>
      <c r="H385" s="2" t="s">
        <v>47</v>
      </c>
      <c r="I385" s="2" t="s">
        <v>20</v>
      </c>
      <c r="J385" s="2" t="s">
        <v>86</v>
      </c>
      <c r="K385" s="2" t="s">
        <v>87</v>
      </c>
      <c r="L385" s="2" t="s">
        <v>2326</v>
      </c>
      <c r="M385" s="2"/>
    </row>
    <row r="386" customFormat="false" ht="23.85" hidden="false" customHeight="false" outlineLevel="0" collapsed="false">
      <c r="A386" s="2" t="s">
        <v>1853</v>
      </c>
      <c r="B386" s="3" t="s">
        <v>2327</v>
      </c>
      <c r="C386" s="2" t="s">
        <v>2328</v>
      </c>
      <c r="D386" s="2" t="s">
        <v>34</v>
      </c>
      <c r="E386" s="2" t="s">
        <v>216</v>
      </c>
      <c r="F386" s="2" t="s">
        <v>2329</v>
      </c>
      <c r="G386" s="2" t="s">
        <v>2330</v>
      </c>
      <c r="H386" s="2" t="s">
        <v>38</v>
      </c>
      <c r="I386" s="2" t="s">
        <v>508</v>
      </c>
      <c r="J386" s="2" t="s">
        <v>71</v>
      </c>
      <c r="K386" s="2" t="s">
        <v>72</v>
      </c>
      <c r="L386" s="2" t="s">
        <v>2331</v>
      </c>
      <c r="M386" s="2"/>
    </row>
    <row r="387" customFormat="false" ht="23.85" hidden="false" customHeight="false" outlineLevel="0" collapsed="false">
      <c r="A387" s="2" t="s">
        <v>2332</v>
      </c>
      <c r="B387" s="3" t="s">
        <v>2333</v>
      </c>
      <c r="C387" s="2" t="s">
        <v>2334</v>
      </c>
      <c r="D387" s="2" t="s">
        <v>15</v>
      </c>
      <c r="E387" s="2" t="s">
        <v>16</v>
      </c>
      <c r="F387" s="2" t="s">
        <v>2335</v>
      </c>
      <c r="G387" s="2" t="s">
        <v>2336</v>
      </c>
      <c r="H387" s="2" t="s">
        <v>47</v>
      </c>
      <c r="I387" s="2" t="s">
        <v>138</v>
      </c>
      <c r="J387" s="2" t="s">
        <v>21</v>
      </c>
      <c r="K387" s="2" t="s">
        <v>22</v>
      </c>
      <c r="L387" s="2" t="s">
        <v>2337</v>
      </c>
      <c r="M387" s="2"/>
    </row>
    <row r="388" customFormat="false" ht="23.85" hidden="false" customHeight="false" outlineLevel="0" collapsed="false">
      <c r="A388" s="2" t="s">
        <v>2338</v>
      </c>
      <c r="B388" s="3" t="s">
        <v>2339</v>
      </c>
      <c r="C388" s="2" t="s">
        <v>2340</v>
      </c>
      <c r="D388" s="2" t="s">
        <v>251</v>
      </c>
      <c r="E388" s="2" t="s">
        <v>2341</v>
      </c>
      <c r="F388" s="2" t="s">
        <v>2342</v>
      </c>
      <c r="G388" s="2" t="s">
        <v>2343</v>
      </c>
      <c r="H388" s="2" t="s">
        <v>255</v>
      </c>
      <c r="I388" s="2" t="s">
        <v>48</v>
      </c>
      <c r="J388" s="2" t="s">
        <v>21</v>
      </c>
      <c r="K388" s="2" t="s">
        <v>22</v>
      </c>
      <c r="L388" s="2" t="s">
        <v>2344</v>
      </c>
      <c r="M388" s="2"/>
    </row>
    <row r="389" customFormat="false" ht="15" hidden="false" customHeight="false" outlineLevel="0" collapsed="false">
      <c r="A389" s="2" t="s">
        <v>2345</v>
      </c>
      <c r="B389" s="3" t="s">
        <v>2346</v>
      </c>
      <c r="C389" s="2" t="s">
        <v>2347</v>
      </c>
      <c r="D389" s="2" t="s">
        <v>82</v>
      </c>
      <c r="E389" s="2" t="s">
        <v>2348</v>
      </c>
      <c r="F389" s="2" t="s">
        <v>2349</v>
      </c>
      <c r="G389" s="2" t="s">
        <v>2350</v>
      </c>
      <c r="H389" s="2" t="s">
        <v>47</v>
      </c>
      <c r="I389" s="2" t="s">
        <v>63</v>
      </c>
      <c r="J389" s="2" t="s">
        <v>21</v>
      </c>
      <c r="K389" s="2" t="s">
        <v>72</v>
      </c>
      <c r="L389" s="2" t="s">
        <v>2351</v>
      </c>
      <c r="M389" s="2"/>
    </row>
    <row r="390" customFormat="false" ht="15" hidden="false" customHeight="false" outlineLevel="0" collapsed="false">
      <c r="A390" s="2" t="s">
        <v>2352</v>
      </c>
      <c r="B390" s="3" t="s">
        <v>2353</v>
      </c>
      <c r="C390" s="2" t="s">
        <v>2354</v>
      </c>
      <c r="D390" s="2" t="s">
        <v>251</v>
      </c>
      <c r="E390" s="2" t="s">
        <v>251</v>
      </c>
      <c r="F390" s="2" t="s">
        <v>2355</v>
      </c>
      <c r="G390" s="2" t="s">
        <v>2356</v>
      </c>
      <c r="H390" s="2" t="s">
        <v>255</v>
      </c>
      <c r="I390" s="2" t="s">
        <v>63</v>
      </c>
      <c r="J390" s="2" t="s">
        <v>21</v>
      </c>
      <c r="K390" s="2" t="s">
        <v>22</v>
      </c>
      <c r="L390" s="2" t="s">
        <v>2357</v>
      </c>
      <c r="M390" s="2"/>
    </row>
    <row r="391" customFormat="false" ht="23.85" hidden="false" customHeight="false" outlineLevel="0" collapsed="false">
      <c r="A391" s="2" t="s">
        <v>1976</v>
      </c>
      <c r="B391" s="3" t="s">
        <v>2358</v>
      </c>
      <c r="C391" s="2"/>
      <c r="D391" s="2" t="s">
        <v>52</v>
      </c>
      <c r="E391" s="2" t="s">
        <v>2359</v>
      </c>
      <c r="F391" s="2" t="s">
        <v>2360</v>
      </c>
      <c r="G391" s="2" t="s">
        <v>2361</v>
      </c>
      <c r="H391" s="2" t="s">
        <v>47</v>
      </c>
      <c r="I391" s="2" t="s">
        <v>48</v>
      </c>
      <c r="J391" s="2" t="s">
        <v>71</v>
      </c>
      <c r="K391" s="2" t="s">
        <v>22</v>
      </c>
      <c r="L391" s="2" t="s">
        <v>2362</v>
      </c>
      <c r="M391" s="2" t="s">
        <v>2363</v>
      </c>
    </row>
    <row r="392" customFormat="false" ht="23.85" hidden="false" customHeight="false" outlineLevel="0" collapsed="false">
      <c r="A392" s="2" t="s">
        <v>2364</v>
      </c>
      <c r="B392" s="3" t="s">
        <v>2365</v>
      </c>
      <c r="C392" s="2" t="s">
        <v>2366</v>
      </c>
      <c r="D392" s="2" t="s">
        <v>82</v>
      </c>
      <c r="E392" s="2" t="s">
        <v>53</v>
      </c>
      <c r="F392" s="2" t="s">
        <v>2367</v>
      </c>
      <c r="G392" s="2" t="s">
        <v>2368</v>
      </c>
      <c r="H392" s="2" t="s">
        <v>2369</v>
      </c>
      <c r="I392" s="2" t="s">
        <v>78</v>
      </c>
      <c r="J392" s="2" t="s">
        <v>71</v>
      </c>
      <c r="K392" s="2" t="s">
        <v>87</v>
      </c>
      <c r="L392" s="2" t="s">
        <v>2370</v>
      </c>
      <c r="M392" s="2" t="s">
        <v>2371</v>
      </c>
    </row>
    <row r="393" customFormat="false" ht="15" hidden="false" customHeight="false" outlineLevel="0" collapsed="false">
      <c r="A393" s="2" t="s">
        <v>2372</v>
      </c>
      <c r="B393" s="3" t="s">
        <v>2373</v>
      </c>
      <c r="C393" s="2"/>
      <c r="D393" s="2" t="s">
        <v>238</v>
      </c>
      <c r="E393" s="2" t="s">
        <v>53</v>
      </c>
      <c r="F393" s="2" t="s">
        <v>2374</v>
      </c>
      <c r="G393" s="2" t="s">
        <v>2375</v>
      </c>
      <c r="H393" s="2" t="s">
        <v>241</v>
      </c>
      <c r="I393" s="2" t="s">
        <v>256</v>
      </c>
      <c r="J393" s="2" t="s">
        <v>21</v>
      </c>
      <c r="K393" s="2" t="s">
        <v>22</v>
      </c>
      <c r="L393" s="2" t="s">
        <v>2376</v>
      </c>
      <c r="M393" s="2"/>
    </row>
    <row r="394" customFormat="false" ht="23.85" hidden="false" customHeight="false" outlineLevel="0" collapsed="false">
      <c r="A394" s="2" t="s">
        <v>2377</v>
      </c>
      <c r="B394" s="3" t="s">
        <v>2378</v>
      </c>
      <c r="C394" s="2"/>
      <c r="D394" s="2" t="s">
        <v>238</v>
      </c>
      <c r="E394" s="2" t="s">
        <v>53</v>
      </c>
      <c r="F394" s="2" t="s">
        <v>2379</v>
      </c>
      <c r="G394" s="2" t="s">
        <v>2380</v>
      </c>
      <c r="H394" s="2" t="s">
        <v>241</v>
      </c>
      <c r="I394" s="2" t="s">
        <v>78</v>
      </c>
      <c r="J394" s="2" t="s">
        <v>71</v>
      </c>
      <c r="K394" s="2" t="s">
        <v>22</v>
      </c>
      <c r="L394" s="2" t="s">
        <v>2381</v>
      </c>
      <c r="M394" s="2"/>
    </row>
    <row r="395" customFormat="false" ht="15" hidden="false" customHeight="false" outlineLevel="0" collapsed="false">
      <c r="A395" s="2" t="s">
        <v>2382</v>
      </c>
      <c r="B395" s="3" t="s">
        <v>2383</v>
      </c>
      <c r="C395" s="2" t="s">
        <v>2384</v>
      </c>
      <c r="D395" s="2" t="s">
        <v>43</v>
      </c>
      <c r="E395" s="2" t="s">
        <v>53</v>
      </c>
      <c r="F395" s="2" t="s">
        <v>2385</v>
      </c>
      <c r="G395" s="2" t="s">
        <v>2386</v>
      </c>
      <c r="H395" s="2" t="s">
        <v>47</v>
      </c>
      <c r="I395" s="2" t="s">
        <v>29</v>
      </c>
      <c r="J395" s="2" t="s">
        <v>71</v>
      </c>
      <c r="K395" s="2" t="s">
        <v>22</v>
      </c>
      <c r="L395" s="2" t="s">
        <v>2387</v>
      </c>
      <c r="M395" s="2"/>
    </row>
    <row r="396" customFormat="false" ht="15" hidden="false" customHeight="false" outlineLevel="0" collapsed="false">
      <c r="A396" s="2" t="s">
        <v>2388</v>
      </c>
      <c r="B396" s="3" t="s">
        <v>2389</v>
      </c>
      <c r="C396" s="2" t="s">
        <v>2390</v>
      </c>
      <c r="D396" s="2" t="s">
        <v>82</v>
      </c>
      <c r="E396" s="2" t="s">
        <v>53</v>
      </c>
      <c r="F396" s="2" t="s">
        <v>2391</v>
      </c>
      <c r="G396" s="2" t="s">
        <v>2392</v>
      </c>
      <c r="H396" s="2" t="s">
        <v>675</v>
      </c>
      <c r="I396" s="2" t="s">
        <v>29</v>
      </c>
      <c r="J396" s="2" t="s">
        <v>71</v>
      </c>
      <c r="K396" s="2" t="s">
        <v>22</v>
      </c>
      <c r="L396" s="2" t="s">
        <v>2393</v>
      </c>
      <c r="M396" s="2"/>
    </row>
    <row r="397" customFormat="false" ht="23.85" hidden="false" customHeight="false" outlineLevel="0" collapsed="false">
      <c r="A397" s="2" t="s">
        <v>1754</v>
      </c>
      <c r="B397" s="3" t="s">
        <v>2394</v>
      </c>
      <c r="C397" s="2" t="s">
        <v>2395</v>
      </c>
      <c r="D397" s="2" t="s">
        <v>15</v>
      </c>
      <c r="E397" s="2" t="s">
        <v>99</v>
      </c>
      <c r="F397" s="2" t="s">
        <v>2396</v>
      </c>
      <c r="G397" s="2" t="s">
        <v>2397</v>
      </c>
      <c r="H397" s="2" t="s">
        <v>47</v>
      </c>
      <c r="I397" s="2" t="s">
        <v>119</v>
      </c>
      <c r="J397" s="2" t="s">
        <v>86</v>
      </c>
      <c r="K397" s="2" t="s">
        <v>87</v>
      </c>
      <c r="L397" s="2" t="s">
        <v>2398</v>
      </c>
      <c r="M397" s="2"/>
    </row>
    <row r="398" customFormat="false" ht="23.85" hidden="false" customHeight="false" outlineLevel="0" collapsed="false">
      <c r="A398" s="2" t="s">
        <v>2399</v>
      </c>
      <c r="B398" s="3" t="s">
        <v>2400</v>
      </c>
      <c r="C398" s="2"/>
      <c r="D398" s="2" t="s">
        <v>179</v>
      </c>
      <c r="E398" s="2" t="s">
        <v>116</v>
      </c>
      <c r="F398" s="2" t="s">
        <v>2401</v>
      </c>
      <c r="G398" s="2" t="s">
        <v>2402</v>
      </c>
      <c r="H398" s="2"/>
      <c r="I398" s="2" t="s">
        <v>94</v>
      </c>
      <c r="J398" s="2" t="s">
        <v>71</v>
      </c>
      <c r="K398" s="2" t="s">
        <v>22</v>
      </c>
      <c r="L398" s="2" t="s">
        <v>2403</v>
      </c>
      <c r="M398" s="2"/>
    </row>
    <row r="399" customFormat="false" ht="23.85" hidden="false" customHeight="false" outlineLevel="0" collapsed="false">
      <c r="A399" s="2" t="s">
        <v>2404</v>
      </c>
      <c r="B399" s="3" t="s">
        <v>2405</v>
      </c>
      <c r="C399" s="2" t="s">
        <v>2406</v>
      </c>
      <c r="D399" s="2" t="s">
        <v>223</v>
      </c>
      <c r="E399" s="2" t="s">
        <v>116</v>
      </c>
      <c r="F399" s="2" t="s">
        <v>2407</v>
      </c>
      <c r="G399" s="2" t="s">
        <v>2408</v>
      </c>
      <c r="H399" s="2" t="s">
        <v>47</v>
      </c>
      <c r="I399" s="2" t="s">
        <v>508</v>
      </c>
      <c r="J399" s="2" t="s">
        <v>86</v>
      </c>
      <c r="K399" s="2" t="s">
        <v>87</v>
      </c>
      <c r="L399" s="2" t="s">
        <v>2409</v>
      </c>
      <c r="M399" s="2" t="s">
        <v>2410</v>
      </c>
    </row>
    <row r="400" customFormat="false" ht="15" hidden="false" customHeight="false" outlineLevel="0" collapsed="false">
      <c r="A400" s="2" t="s">
        <v>2411</v>
      </c>
      <c r="B400" s="3" t="s">
        <v>2412</v>
      </c>
      <c r="C400" s="2" t="s">
        <v>2413</v>
      </c>
      <c r="D400" s="2" t="s">
        <v>15</v>
      </c>
      <c r="E400" s="2" t="s">
        <v>16</v>
      </c>
      <c r="F400" s="2" t="s">
        <v>2414</v>
      </c>
      <c r="G400" s="2" t="s">
        <v>2415</v>
      </c>
      <c r="H400" s="2" t="s">
        <v>47</v>
      </c>
      <c r="I400" s="2" t="s">
        <v>138</v>
      </c>
      <c r="J400" s="2" t="s">
        <v>71</v>
      </c>
      <c r="K400" s="2" t="s">
        <v>22</v>
      </c>
      <c r="L400" s="2" t="s">
        <v>2416</v>
      </c>
      <c r="M400" s="2"/>
    </row>
    <row r="401" customFormat="false" ht="23.85" hidden="false" customHeight="false" outlineLevel="0" collapsed="false">
      <c r="A401" s="2" t="s">
        <v>2417</v>
      </c>
      <c r="B401" s="3" t="s">
        <v>2418</v>
      </c>
      <c r="C401" s="2" t="s">
        <v>2419</v>
      </c>
      <c r="D401" s="2" t="s">
        <v>106</v>
      </c>
      <c r="E401" s="2" t="s">
        <v>53</v>
      </c>
      <c r="F401" s="2" t="s">
        <v>2420</v>
      </c>
      <c r="G401" s="2" t="s">
        <v>2421</v>
      </c>
      <c r="H401" s="2" t="s">
        <v>905</v>
      </c>
      <c r="I401" s="2" t="s">
        <v>78</v>
      </c>
      <c r="J401" s="2" t="s">
        <v>71</v>
      </c>
      <c r="K401" s="2" t="s">
        <v>72</v>
      </c>
      <c r="L401" s="2" t="s">
        <v>2422</v>
      </c>
      <c r="M401" s="2"/>
    </row>
    <row r="402" customFormat="false" ht="23.85" hidden="false" customHeight="false" outlineLevel="0" collapsed="false">
      <c r="A402" s="2" t="s">
        <v>2423</v>
      </c>
      <c r="B402" s="3" t="s">
        <v>2424</v>
      </c>
      <c r="C402" s="2" t="s">
        <v>2425</v>
      </c>
      <c r="D402" s="2" t="s">
        <v>251</v>
      </c>
      <c r="E402" s="2" t="s">
        <v>53</v>
      </c>
      <c r="F402" s="2" t="s">
        <v>2426</v>
      </c>
      <c r="G402" s="2" t="s">
        <v>2427</v>
      </c>
      <c r="H402" s="2" t="s">
        <v>255</v>
      </c>
      <c r="I402" s="2" t="s">
        <v>48</v>
      </c>
      <c r="J402" s="2" t="s">
        <v>21</v>
      </c>
      <c r="K402" s="2" t="s">
        <v>72</v>
      </c>
      <c r="L402" s="2" t="s">
        <v>2428</v>
      </c>
      <c r="M402" s="2"/>
    </row>
    <row r="403" customFormat="false" ht="15" hidden="false" customHeight="false" outlineLevel="0" collapsed="false">
      <c r="A403" s="2" t="s">
        <v>2429</v>
      </c>
      <c r="B403" s="3" t="s">
        <v>2430</v>
      </c>
      <c r="C403" s="2"/>
      <c r="D403" s="2" t="s">
        <v>106</v>
      </c>
      <c r="E403" s="2" t="s">
        <v>2431</v>
      </c>
      <c r="F403" s="2" t="s">
        <v>2432</v>
      </c>
      <c r="G403" s="2" t="s">
        <v>2433</v>
      </c>
      <c r="H403" s="2" t="s">
        <v>675</v>
      </c>
      <c r="I403" s="2" t="s">
        <v>29</v>
      </c>
      <c r="J403" s="2" t="s">
        <v>21</v>
      </c>
      <c r="K403" s="2" t="s">
        <v>72</v>
      </c>
      <c r="L403" s="2" t="s">
        <v>2434</v>
      </c>
      <c r="M403" s="2"/>
    </row>
    <row r="404" customFormat="false" ht="23.85" hidden="false" customHeight="false" outlineLevel="0" collapsed="false">
      <c r="A404" s="2" t="s">
        <v>2435</v>
      </c>
      <c r="B404" s="3" t="s">
        <v>2436</v>
      </c>
      <c r="C404" s="2"/>
      <c r="D404" s="2" t="s">
        <v>15</v>
      </c>
      <c r="E404" s="2" t="s">
        <v>99</v>
      </c>
      <c r="F404" s="2" t="s">
        <v>2437</v>
      </c>
      <c r="G404" s="2" t="s">
        <v>2438</v>
      </c>
      <c r="H404" s="2" t="s">
        <v>47</v>
      </c>
      <c r="I404" s="2" t="s">
        <v>78</v>
      </c>
      <c r="J404" s="2" t="s">
        <v>71</v>
      </c>
      <c r="K404" s="2" t="s">
        <v>72</v>
      </c>
      <c r="L404" s="2" t="s">
        <v>2439</v>
      </c>
      <c r="M404" s="2" t="s">
        <v>2440</v>
      </c>
    </row>
    <row r="405" customFormat="false" ht="15" hidden="false" customHeight="false" outlineLevel="0" collapsed="false">
      <c r="A405" s="2" t="s">
        <v>2441</v>
      </c>
      <c r="B405" s="3" t="s">
        <v>2442</v>
      </c>
      <c r="C405" s="2" t="s">
        <v>2443</v>
      </c>
      <c r="D405" s="2" t="s">
        <v>106</v>
      </c>
      <c r="E405" s="2" t="s">
        <v>53</v>
      </c>
      <c r="F405" s="2" t="s">
        <v>2444</v>
      </c>
      <c r="G405" s="2" t="s">
        <v>2445</v>
      </c>
      <c r="H405" s="2" t="s">
        <v>110</v>
      </c>
      <c r="I405" s="2" t="s">
        <v>111</v>
      </c>
      <c r="J405" s="2" t="s">
        <v>21</v>
      </c>
      <c r="K405" s="2" t="s">
        <v>72</v>
      </c>
      <c r="L405" s="2" t="s">
        <v>2446</v>
      </c>
      <c r="M405" s="2"/>
    </row>
    <row r="406" customFormat="false" ht="23.85" hidden="false" customHeight="false" outlineLevel="0" collapsed="false">
      <c r="A406" s="2" t="s">
        <v>2447</v>
      </c>
      <c r="B406" s="3" t="s">
        <v>2448</v>
      </c>
      <c r="C406" s="2" t="s">
        <v>2449</v>
      </c>
      <c r="D406" s="2" t="s">
        <v>82</v>
      </c>
      <c r="E406" s="2" t="s">
        <v>91</v>
      </c>
      <c r="F406" s="2" t="s">
        <v>2450</v>
      </c>
      <c r="G406" s="2" t="s">
        <v>2451</v>
      </c>
      <c r="H406" s="2" t="s">
        <v>675</v>
      </c>
      <c r="I406" s="2" t="s">
        <v>138</v>
      </c>
      <c r="J406" s="2" t="s">
        <v>86</v>
      </c>
      <c r="K406" s="2" t="s">
        <v>72</v>
      </c>
      <c r="L406" s="2" t="s">
        <v>2452</v>
      </c>
      <c r="M406" s="2"/>
    </row>
    <row r="407" customFormat="false" ht="23.85" hidden="false" customHeight="false" outlineLevel="0" collapsed="false">
      <c r="A407" s="2" t="s">
        <v>2453</v>
      </c>
      <c r="B407" s="3" t="s">
        <v>2454</v>
      </c>
      <c r="C407" s="2" t="s">
        <v>2455</v>
      </c>
      <c r="D407" s="2" t="s">
        <v>15</v>
      </c>
      <c r="E407" s="2" t="s">
        <v>494</v>
      </c>
      <c r="F407" s="2" t="s">
        <v>2456</v>
      </c>
      <c r="G407" s="2" t="s">
        <v>2457</v>
      </c>
      <c r="H407" s="2" t="s">
        <v>47</v>
      </c>
      <c r="I407" s="2" t="s">
        <v>63</v>
      </c>
      <c r="J407" s="2" t="s">
        <v>71</v>
      </c>
      <c r="K407" s="2" t="s">
        <v>22</v>
      </c>
      <c r="L407" s="2" t="s">
        <v>1167</v>
      </c>
      <c r="M407" s="2"/>
    </row>
    <row r="408" customFormat="false" ht="15" hidden="false" customHeight="false" outlineLevel="0" collapsed="false">
      <c r="A408" s="2" t="s">
        <v>2458</v>
      </c>
      <c r="B408" s="3" t="s">
        <v>2459</v>
      </c>
      <c r="C408" s="2"/>
      <c r="D408" s="2" t="s">
        <v>34</v>
      </c>
      <c r="E408" s="2" t="s">
        <v>91</v>
      </c>
      <c r="F408" s="2" t="s">
        <v>2460</v>
      </c>
      <c r="G408" s="2" t="s">
        <v>2461</v>
      </c>
      <c r="H408" s="2" t="s">
        <v>19</v>
      </c>
      <c r="I408" s="2" t="s">
        <v>508</v>
      </c>
      <c r="J408" s="2" t="s">
        <v>86</v>
      </c>
      <c r="K408" s="2" t="s">
        <v>72</v>
      </c>
      <c r="L408" s="2" t="s">
        <v>2462</v>
      </c>
      <c r="M408" s="2"/>
    </row>
    <row r="409" customFormat="false" ht="23.85" hidden="false" customHeight="false" outlineLevel="0" collapsed="false">
      <c r="A409" s="2" t="s">
        <v>2463</v>
      </c>
      <c r="B409" s="3" t="s">
        <v>2464</v>
      </c>
      <c r="C409" s="2"/>
      <c r="D409" s="2" t="s">
        <v>52</v>
      </c>
      <c r="E409" s="2" t="s">
        <v>60</v>
      </c>
      <c r="F409" s="2" t="s">
        <v>2465</v>
      </c>
      <c r="G409" s="2" t="s">
        <v>2466</v>
      </c>
      <c r="H409" s="2" t="s">
        <v>47</v>
      </c>
      <c r="I409" s="2" t="s">
        <v>63</v>
      </c>
      <c r="J409" s="2" t="s">
        <v>21</v>
      </c>
      <c r="K409" s="2" t="s">
        <v>22</v>
      </c>
      <c r="L409" s="2" t="s">
        <v>2467</v>
      </c>
      <c r="M409" s="2"/>
    </row>
    <row r="410" customFormat="false" ht="15" hidden="false" customHeight="false" outlineLevel="0" collapsed="false">
      <c r="A410" s="2" t="s">
        <v>2468</v>
      </c>
      <c r="B410" s="3" t="s">
        <v>2469</v>
      </c>
      <c r="C410" s="2"/>
      <c r="D410" s="2" t="s">
        <v>52</v>
      </c>
      <c r="E410" s="2" t="s">
        <v>691</v>
      </c>
      <c r="F410" s="2" t="s">
        <v>2470</v>
      </c>
      <c r="G410" s="2" t="s">
        <v>2471</v>
      </c>
      <c r="H410" s="2" t="s">
        <v>452</v>
      </c>
      <c r="I410" s="2" t="s">
        <v>63</v>
      </c>
      <c r="J410" s="2" t="s">
        <v>71</v>
      </c>
      <c r="K410" s="2" t="s">
        <v>22</v>
      </c>
      <c r="L410" s="2" t="s">
        <v>2472</v>
      </c>
      <c r="M410" s="2"/>
    </row>
    <row r="411" customFormat="false" ht="23.85" hidden="false" customHeight="false" outlineLevel="0" collapsed="false">
      <c r="A411" s="2" t="s">
        <v>2473</v>
      </c>
      <c r="B411" s="3" t="s">
        <v>2474</v>
      </c>
      <c r="C411" s="2" t="s">
        <v>2475</v>
      </c>
      <c r="D411" s="2" t="s">
        <v>15</v>
      </c>
      <c r="E411" s="2" t="s">
        <v>591</v>
      </c>
      <c r="F411" s="2" t="s">
        <v>2476</v>
      </c>
      <c r="G411" s="2" t="s">
        <v>2477</v>
      </c>
      <c r="H411" s="2" t="s">
        <v>47</v>
      </c>
      <c r="I411" s="2" t="s">
        <v>63</v>
      </c>
      <c r="J411" s="2" t="s">
        <v>21</v>
      </c>
      <c r="K411" s="2" t="s">
        <v>22</v>
      </c>
      <c r="L411" s="2" t="s">
        <v>594</v>
      </c>
      <c r="M411" s="2"/>
    </row>
    <row r="412" customFormat="false" ht="23.85" hidden="false" customHeight="false" outlineLevel="0" collapsed="false">
      <c r="A412" s="2" t="s">
        <v>2478</v>
      </c>
      <c r="B412" s="3" t="s">
        <v>2479</v>
      </c>
      <c r="C412" s="2" t="s">
        <v>2480</v>
      </c>
      <c r="D412" s="2" t="s">
        <v>43</v>
      </c>
      <c r="E412" s="2" t="s">
        <v>53</v>
      </c>
      <c r="F412" s="2" t="s">
        <v>2481</v>
      </c>
      <c r="G412" s="2" t="s">
        <v>2482</v>
      </c>
      <c r="H412" s="2" t="s">
        <v>110</v>
      </c>
      <c r="I412" s="2" t="s">
        <v>151</v>
      </c>
      <c r="J412" s="2" t="s">
        <v>71</v>
      </c>
      <c r="K412" s="2" t="s">
        <v>22</v>
      </c>
      <c r="L412" s="2" t="s">
        <v>2483</v>
      </c>
      <c r="M412" s="2"/>
    </row>
    <row r="413" customFormat="false" ht="23.85" hidden="false" customHeight="false" outlineLevel="0" collapsed="false">
      <c r="A413" s="2" t="s">
        <v>2484</v>
      </c>
      <c r="B413" s="3" t="s">
        <v>2485</v>
      </c>
      <c r="C413" s="2"/>
      <c r="D413" s="2" t="s">
        <v>15</v>
      </c>
      <c r="E413" s="2" t="s">
        <v>535</v>
      </c>
      <c r="F413" s="2" t="s">
        <v>2486</v>
      </c>
      <c r="G413" s="2" t="s">
        <v>2487</v>
      </c>
      <c r="H413" s="2" t="s">
        <v>47</v>
      </c>
      <c r="I413" s="2" t="s">
        <v>182</v>
      </c>
      <c r="J413" s="2" t="s">
        <v>86</v>
      </c>
      <c r="K413" s="2" t="s">
        <v>87</v>
      </c>
      <c r="L413" s="2" t="s">
        <v>1173</v>
      </c>
      <c r="M413" s="2"/>
    </row>
    <row r="414" customFormat="false" ht="23.85" hidden="false" customHeight="false" outlineLevel="0" collapsed="false">
      <c r="A414" s="2" t="s">
        <v>2488</v>
      </c>
      <c r="B414" s="3" t="s">
        <v>2489</v>
      </c>
      <c r="C414" s="2" t="s">
        <v>2490</v>
      </c>
      <c r="D414" s="2" t="s">
        <v>43</v>
      </c>
      <c r="E414" s="2" t="s">
        <v>53</v>
      </c>
      <c r="F414" s="2" t="s">
        <v>2491</v>
      </c>
      <c r="G414" s="2" t="s">
        <v>2492</v>
      </c>
      <c r="H414" s="2" t="s">
        <v>288</v>
      </c>
      <c r="I414" s="2" t="s">
        <v>111</v>
      </c>
      <c r="J414" s="2" t="s">
        <v>21</v>
      </c>
      <c r="K414" s="2" t="s">
        <v>22</v>
      </c>
      <c r="L414" s="2" t="s">
        <v>2493</v>
      </c>
      <c r="M414" s="2" t="s">
        <v>2494</v>
      </c>
    </row>
    <row r="415" customFormat="false" ht="15" hidden="false" customHeight="false" outlineLevel="0" collapsed="false">
      <c r="A415" s="2" t="s">
        <v>2495</v>
      </c>
      <c r="B415" s="3" t="s">
        <v>2496</v>
      </c>
      <c r="C415" s="2"/>
      <c r="D415" s="2" t="s">
        <v>43</v>
      </c>
      <c r="E415" s="2" t="s">
        <v>35</v>
      </c>
      <c r="F415" s="2" t="s">
        <v>2497</v>
      </c>
      <c r="G415" s="2" t="s">
        <v>2498</v>
      </c>
      <c r="H415" s="2" t="s">
        <v>1288</v>
      </c>
      <c r="I415" s="2" t="s">
        <v>151</v>
      </c>
      <c r="J415" s="2" t="s">
        <v>71</v>
      </c>
      <c r="K415" s="2" t="s">
        <v>22</v>
      </c>
      <c r="L415" s="2" t="s">
        <v>2499</v>
      </c>
      <c r="M415" s="2"/>
    </row>
    <row r="416" customFormat="false" ht="23.85" hidden="false" customHeight="false" outlineLevel="0" collapsed="false">
      <c r="A416" s="2" t="s">
        <v>2500</v>
      </c>
      <c r="B416" s="3" t="s">
        <v>2501</v>
      </c>
      <c r="C416" s="2" t="s">
        <v>2502</v>
      </c>
      <c r="D416" s="2" t="s">
        <v>82</v>
      </c>
      <c r="E416" s="2" t="s">
        <v>91</v>
      </c>
      <c r="F416" s="2" t="s">
        <v>2503</v>
      </c>
      <c r="G416" s="2" t="s">
        <v>2504</v>
      </c>
      <c r="H416" s="2" t="s">
        <v>675</v>
      </c>
      <c r="I416" s="2" t="s">
        <v>799</v>
      </c>
      <c r="J416" s="2" t="s">
        <v>86</v>
      </c>
      <c r="K416" s="2" t="s">
        <v>72</v>
      </c>
      <c r="L416" s="2" t="s">
        <v>1231</v>
      </c>
      <c r="M416" s="2" t="s">
        <v>2505</v>
      </c>
    </row>
    <row r="417" customFormat="false" ht="15" hidden="false" customHeight="false" outlineLevel="0" collapsed="false">
      <c r="A417" s="2" t="s">
        <v>2506</v>
      </c>
      <c r="B417" s="3" t="s">
        <v>2507</v>
      </c>
      <c r="C417" s="2" t="s">
        <v>2508</v>
      </c>
      <c r="D417" s="2" t="s">
        <v>34</v>
      </c>
      <c r="E417" s="2" t="s">
        <v>91</v>
      </c>
      <c r="F417" s="2" t="s">
        <v>2509</v>
      </c>
      <c r="G417" s="2" t="s">
        <v>2510</v>
      </c>
      <c r="H417" s="2" t="s">
        <v>1218</v>
      </c>
      <c r="I417" s="2" t="s">
        <v>799</v>
      </c>
      <c r="J417" s="2" t="s">
        <v>86</v>
      </c>
      <c r="K417" s="2" t="s">
        <v>72</v>
      </c>
      <c r="L417" s="2" t="s">
        <v>95</v>
      </c>
      <c r="M417" s="2" t="s">
        <v>2511</v>
      </c>
    </row>
    <row r="418" customFormat="false" ht="23.85" hidden="false" customHeight="false" outlineLevel="0" collapsed="false">
      <c r="A418" s="2" t="s">
        <v>2512</v>
      </c>
      <c r="B418" s="3" t="s">
        <v>2513</v>
      </c>
      <c r="C418" s="2"/>
      <c r="D418" s="2" t="s">
        <v>223</v>
      </c>
      <c r="E418" s="2" t="s">
        <v>53</v>
      </c>
      <c r="F418" s="2" t="s">
        <v>2514</v>
      </c>
      <c r="G418" s="2" t="s">
        <v>2515</v>
      </c>
      <c r="H418" s="2" t="s">
        <v>866</v>
      </c>
      <c r="I418" s="2" t="s">
        <v>508</v>
      </c>
      <c r="J418" s="2" t="s">
        <v>86</v>
      </c>
      <c r="K418" s="2" t="s">
        <v>87</v>
      </c>
      <c r="L418" s="2" t="s">
        <v>2516</v>
      </c>
      <c r="M418" s="2" t="s">
        <v>2517</v>
      </c>
    </row>
    <row r="419" customFormat="false" ht="23.85" hidden="false" customHeight="false" outlineLevel="0" collapsed="false">
      <c r="A419" s="2" t="s">
        <v>2518</v>
      </c>
      <c r="B419" s="3" t="s">
        <v>2519</v>
      </c>
      <c r="C419" s="2"/>
      <c r="D419" s="2" t="s">
        <v>15</v>
      </c>
      <c r="E419" s="2" t="s">
        <v>16</v>
      </c>
      <c r="F419" s="2" t="s">
        <v>2520</v>
      </c>
      <c r="G419" s="2" t="s">
        <v>2521</v>
      </c>
      <c r="H419" s="2" t="s">
        <v>47</v>
      </c>
      <c r="I419" s="2" t="s">
        <v>85</v>
      </c>
      <c r="J419" s="2" t="s">
        <v>71</v>
      </c>
      <c r="K419" s="2" t="s">
        <v>22</v>
      </c>
      <c r="L419" s="2" t="s">
        <v>2522</v>
      </c>
      <c r="M419" s="2"/>
    </row>
    <row r="420" customFormat="false" ht="23.85" hidden="false" customHeight="false" outlineLevel="0" collapsed="false">
      <c r="A420" s="2" t="s">
        <v>2523</v>
      </c>
      <c r="B420" s="3" t="s">
        <v>2524</v>
      </c>
      <c r="C420" s="2" t="s">
        <v>2525</v>
      </c>
      <c r="D420" s="2" t="s">
        <v>238</v>
      </c>
      <c r="E420" s="2" t="s">
        <v>53</v>
      </c>
      <c r="F420" s="2" t="s">
        <v>2526</v>
      </c>
      <c r="G420" s="2" t="s">
        <v>2527</v>
      </c>
      <c r="H420" s="2" t="s">
        <v>241</v>
      </c>
      <c r="I420" s="2" t="s">
        <v>111</v>
      </c>
      <c r="J420" s="2" t="s">
        <v>71</v>
      </c>
      <c r="K420" s="2" t="s">
        <v>22</v>
      </c>
      <c r="L420" s="2" t="s">
        <v>2528</v>
      </c>
      <c r="M420" s="2" t="s">
        <v>2529</v>
      </c>
    </row>
    <row r="421" customFormat="false" ht="23.85" hidden="false" customHeight="false" outlineLevel="0" collapsed="false">
      <c r="A421" s="2" t="s">
        <v>2530</v>
      </c>
      <c r="B421" s="3" t="s">
        <v>2531</v>
      </c>
      <c r="C421" s="2"/>
      <c r="D421" s="2" t="s">
        <v>179</v>
      </c>
      <c r="E421" s="2" t="s">
        <v>116</v>
      </c>
      <c r="F421" s="2" t="s">
        <v>2532</v>
      </c>
      <c r="G421" s="2" t="s">
        <v>2533</v>
      </c>
      <c r="H421" s="2" t="s">
        <v>47</v>
      </c>
      <c r="I421" s="2" t="s">
        <v>119</v>
      </c>
      <c r="J421" s="2" t="s">
        <v>86</v>
      </c>
      <c r="K421" s="2" t="s">
        <v>72</v>
      </c>
      <c r="L421" s="2" t="s">
        <v>2534</v>
      </c>
      <c r="M421" s="2"/>
    </row>
    <row r="422" customFormat="false" ht="23.85" hidden="false" customHeight="false" outlineLevel="0" collapsed="false">
      <c r="A422" s="2" t="s">
        <v>2535</v>
      </c>
      <c r="B422" s="3" t="s">
        <v>2536</v>
      </c>
      <c r="C422" s="2"/>
      <c r="D422" s="2" t="s">
        <v>15</v>
      </c>
      <c r="E422" s="2" t="s">
        <v>16</v>
      </c>
      <c r="F422" s="2" t="s">
        <v>2537</v>
      </c>
      <c r="G422" s="2" t="s">
        <v>2538</v>
      </c>
      <c r="H422" s="2" t="s">
        <v>47</v>
      </c>
      <c r="I422" s="2" t="s">
        <v>119</v>
      </c>
      <c r="J422" s="2" t="s">
        <v>86</v>
      </c>
      <c r="K422" s="2" t="s">
        <v>72</v>
      </c>
      <c r="L422" s="2" t="s">
        <v>2539</v>
      </c>
      <c r="M422" s="2"/>
    </row>
    <row r="423" customFormat="false" ht="23.85" hidden="false" customHeight="false" outlineLevel="0" collapsed="false">
      <c r="A423" s="2" t="s">
        <v>2540</v>
      </c>
      <c r="B423" s="3" t="s">
        <v>2541</v>
      </c>
      <c r="C423" s="2" t="s">
        <v>2542</v>
      </c>
      <c r="D423" s="2" t="s">
        <v>15</v>
      </c>
      <c r="E423" s="2" t="s">
        <v>16</v>
      </c>
      <c r="F423" s="2" t="s">
        <v>2543</v>
      </c>
      <c r="G423" s="2" t="s">
        <v>2544</v>
      </c>
      <c r="H423" s="2" t="s">
        <v>47</v>
      </c>
      <c r="I423" s="2" t="s">
        <v>85</v>
      </c>
      <c r="J423" s="2" t="s">
        <v>71</v>
      </c>
      <c r="K423" s="2" t="s">
        <v>22</v>
      </c>
      <c r="L423" s="2" t="s">
        <v>2545</v>
      </c>
      <c r="M423" s="2"/>
    </row>
    <row r="424" customFormat="false" ht="23.85" hidden="false" customHeight="false" outlineLevel="0" collapsed="false">
      <c r="A424" s="2" t="s">
        <v>2546</v>
      </c>
      <c r="B424" s="3" t="s">
        <v>2547</v>
      </c>
      <c r="C424" s="2"/>
      <c r="D424" s="2" t="s">
        <v>34</v>
      </c>
      <c r="E424" s="2" t="s">
        <v>116</v>
      </c>
      <c r="F424" s="2" t="s">
        <v>2548</v>
      </c>
      <c r="G424" s="2" t="s">
        <v>2549</v>
      </c>
      <c r="H424" s="2" t="s">
        <v>19</v>
      </c>
      <c r="I424" s="2" t="s">
        <v>20</v>
      </c>
      <c r="J424" s="2" t="s">
        <v>71</v>
      </c>
      <c r="K424" s="2" t="s">
        <v>72</v>
      </c>
      <c r="L424" s="2" t="s">
        <v>2550</v>
      </c>
      <c r="M424" s="2" t="s">
        <v>2551</v>
      </c>
    </row>
    <row r="425" customFormat="false" ht="23.85" hidden="false" customHeight="false" outlineLevel="0" collapsed="false">
      <c r="A425" s="2" t="s">
        <v>2552</v>
      </c>
      <c r="B425" s="3" t="s">
        <v>2553</v>
      </c>
      <c r="C425" s="2" t="s">
        <v>2554</v>
      </c>
      <c r="D425" s="2" t="s">
        <v>15</v>
      </c>
      <c r="E425" s="2" t="s">
        <v>16</v>
      </c>
      <c r="F425" s="2" t="s">
        <v>2555</v>
      </c>
      <c r="G425" s="2" t="s">
        <v>2556</v>
      </c>
      <c r="H425" s="2" t="s">
        <v>47</v>
      </c>
      <c r="I425" s="2" t="s">
        <v>20</v>
      </c>
      <c r="J425" s="2" t="s">
        <v>21</v>
      </c>
      <c r="K425" s="2" t="s">
        <v>22</v>
      </c>
      <c r="L425" s="2" t="s">
        <v>2557</v>
      </c>
      <c r="M425" s="2"/>
    </row>
    <row r="426" customFormat="false" ht="23.85" hidden="false" customHeight="false" outlineLevel="0" collapsed="false">
      <c r="A426" s="2" t="s">
        <v>2558</v>
      </c>
      <c r="B426" s="3" t="s">
        <v>2559</v>
      </c>
      <c r="C426" s="2" t="s">
        <v>2560</v>
      </c>
      <c r="D426" s="2" t="s">
        <v>15</v>
      </c>
      <c r="E426" s="2" t="s">
        <v>16</v>
      </c>
      <c r="F426" s="2" t="s">
        <v>2561</v>
      </c>
      <c r="G426" s="2" t="s">
        <v>2562</v>
      </c>
      <c r="H426" s="2" t="s">
        <v>47</v>
      </c>
      <c r="I426" s="2" t="s">
        <v>85</v>
      </c>
      <c r="J426" s="2" t="s">
        <v>21</v>
      </c>
      <c r="K426" s="2" t="s">
        <v>22</v>
      </c>
      <c r="L426" s="2" t="s">
        <v>2563</v>
      </c>
      <c r="M426" s="2"/>
    </row>
    <row r="427" customFormat="false" ht="15" hidden="false" customHeight="false" outlineLevel="0" collapsed="false">
      <c r="A427" s="2" t="s">
        <v>2564</v>
      </c>
      <c r="B427" s="3" t="s">
        <v>2565</v>
      </c>
      <c r="C427" s="2"/>
      <c r="D427" s="2" t="s">
        <v>82</v>
      </c>
      <c r="E427" s="2" t="s">
        <v>216</v>
      </c>
      <c r="F427" s="2" t="s">
        <v>2566</v>
      </c>
      <c r="G427" s="2" t="s">
        <v>2567</v>
      </c>
      <c r="H427" s="2" t="s">
        <v>47</v>
      </c>
      <c r="I427" s="2" t="s">
        <v>85</v>
      </c>
      <c r="J427" s="2" t="s">
        <v>71</v>
      </c>
      <c r="K427" s="2" t="s">
        <v>22</v>
      </c>
      <c r="L427" s="2" t="s">
        <v>2568</v>
      </c>
      <c r="M427" s="2" t="s">
        <v>2569</v>
      </c>
    </row>
    <row r="428" customFormat="false" ht="23.85" hidden="false" customHeight="false" outlineLevel="0" collapsed="false">
      <c r="A428" s="2" t="s">
        <v>2570</v>
      </c>
      <c r="B428" s="3" t="s">
        <v>2571</v>
      </c>
      <c r="C428" s="2" t="s">
        <v>2572</v>
      </c>
      <c r="D428" s="2" t="s">
        <v>15</v>
      </c>
      <c r="E428" s="2" t="s">
        <v>16</v>
      </c>
      <c r="F428" s="2" t="s">
        <v>2573</v>
      </c>
      <c r="G428" s="2" t="s">
        <v>2574</v>
      </c>
      <c r="H428" s="2" t="s">
        <v>47</v>
      </c>
      <c r="I428" s="2" t="s">
        <v>20</v>
      </c>
      <c r="J428" s="2" t="s">
        <v>71</v>
      </c>
      <c r="K428" s="2" t="s">
        <v>22</v>
      </c>
      <c r="L428" s="2" t="s">
        <v>2575</v>
      </c>
      <c r="M428" s="2"/>
    </row>
    <row r="429" customFormat="false" ht="23.85" hidden="false" customHeight="false" outlineLevel="0" collapsed="false">
      <c r="A429" s="2" t="s">
        <v>2576</v>
      </c>
      <c r="B429" s="3" t="s">
        <v>2577</v>
      </c>
      <c r="C429" s="2" t="s">
        <v>2578</v>
      </c>
      <c r="D429" s="2" t="s">
        <v>238</v>
      </c>
      <c r="E429" s="2" t="s">
        <v>53</v>
      </c>
      <c r="F429" s="2" t="s">
        <v>2579</v>
      </c>
      <c r="G429" s="2" t="s">
        <v>2580</v>
      </c>
      <c r="H429" s="2" t="s">
        <v>241</v>
      </c>
      <c r="I429" s="2" t="s">
        <v>20</v>
      </c>
      <c r="J429" s="2" t="s">
        <v>71</v>
      </c>
      <c r="K429" s="2" t="s">
        <v>72</v>
      </c>
      <c r="L429" s="2" t="s">
        <v>2581</v>
      </c>
      <c r="M429" s="2" t="s">
        <v>2582</v>
      </c>
    </row>
    <row r="430" customFormat="false" ht="23.85" hidden="false" customHeight="false" outlineLevel="0" collapsed="false">
      <c r="A430" s="2" t="s">
        <v>2583</v>
      </c>
      <c r="B430" s="3" t="s">
        <v>2584</v>
      </c>
      <c r="C430" s="2"/>
      <c r="D430" s="2" t="s">
        <v>43</v>
      </c>
      <c r="E430" s="2" t="s">
        <v>107</v>
      </c>
      <c r="F430" s="2" t="s">
        <v>2585</v>
      </c>
      <c r="G430" s="2" t="s">
        <v>2586</v>
      </c>
      <c r="H430" s="2"/>
      <c r="I430" s="2" t="s">
        <v>111</v>
      </c>
      <c r="J430" s="2" t="s">
        <v>71</v>
      </c>
      <c r="K430" s="2" t="s">
        <v>22</v>
      </c>
      <c r="L430" s="2" t="s">
        <v>2587</v>
      </c>
      <c r="M430" s="2"/>
    </row>
    <row r="431" customFormat="false" ht="15" hidden="false" customHeight="false" outlineLevel="0" collapsed="false">
      <c r="A431" s="2" t="s">
        <v>2588</v>
      </c>
      <c r="B431" s="3" t="s">
        <v>2589</v>
      </c>
      <c r="C431" s="2"/>
      <c r="D431" s="2" t="s">
        <v>59</v>
      </c>
      <c r="E431" s="2" t="s">
        <v>53</v>
      </c>
      <c r="F431" s="2" t="s">
        <v>2590</v>
      </c>
      <c r="G431" s="2" t="s">
        <v>2591</v>
      </c>
      <c r="H431" s="2" t="s">
        <v>543</v>
      </c>
      <c r="I431" s="2" t="s">
        <v>63</v>
      </c>
      <c r="J431" s="2" t="s">
        <v>71</v>
      </c>
      <c r="K431" s="2" t="s">
        <v>22</v>
      </c>
      <c r="L431" s="2" t="s">
        <v>2592</v>
      </c>
      <c r="M431" s="2"/>
    </row>
    <row r="432" customFormat="false" ht="15" hidden="false" customHeight="false" outlineLevel="0" collapsed="false">
      <c r="A432" s="2" t="s">
        <v>2593</v>
      </c>
      <c r="B432" s="3" t="s">
        <v>2594</v>
      </c>
      <c r="C432" s="2"/>
      <c r="D432" s="2" t="s">
        <v>34</v>
      </c>
      <c r="E432" s="2" t="s">
        <v>53</v>
      </c>
      <c r="F432" s="2" t="s">
        <v>2595</v>
      </c>
      <c r="G432" s="2" t="s">
        <v>2596</v>
      </c>
      <c r="H432" s="2"/>
      <c r="I432" s="2" t="s">
        <v>48</v>
      </c>
      <c r="J432" s="2" t="s">
        <v>71</v>
      </c>
      <c r="K432" s="2" t="s">
        <v>72</v>
      </c>
      <c r="L432" s="2" t="s">
        <v>2597</v>
      </c>
      <c r="M432" s="2"/>
    </row>
    <row r="433" customFormat="false" ht="15" hidden="false" customHeight="false" outlineLevel="0" collapsed="false">
      <c r="A433" s="2" t="s">
        <v>2598</v>
      </c>
      <c r="B433" s="3" t="s">
        <v>2599</v>
      </c>
      <c r="C433" s="2"/>
      <c r="D433" s="2" t="s">
        <v>179</v>
      </c>
      <c r="E433" s="2" t="s">
        <v>53</v>
      </c>
      <c r="F433" s="2" t="s">
        <v>2600</v>
      </c>
      <c r="G433" s="2" t="s">
        <v>2601</v>
      </c>
      <c r="H433" s="2" t="s">
        <v>38</v>
      </c>
      <c r="I433" s="2" t="s">
        <v>48</v>
      </c>
      <c r="J433" s="2" t="s">
        <v>86</v>
      </c>
      <c r="K433" s="2" t="s">
        <v>72</v>
      </c>
      <c r="L433" s="2" t="s">
        <v>2602</v>
      </c>
      <c r="M433" s="2"/>
    </row>
    <row r="434" customFormat="false" ht="23.85" hidden="false" customHeight="false" outlineLevel="0" collapsed="false">
      <c r="A434" s="2" t="s">
        <v>2603</v>
      </c>
      <c r="B434" s="3" t="s">
        <v>2604</v>
      </c>
      <c r="C434" s="2" t="s">
        <v>2605</v>
      </c>
      <c r="D434" s="2" t="s">
        <v>43</v>
      </c>
      <c r="E434" s="2" t="s">
        <v>99</v>
      </c>
      <c r="F434" s="2" t="s">
        <v>2606</v>
      </c>
      <c r="G434" s="2" t="s">
        <v>2607</v>
      </c>
      <c r="H434" s="2" t="s">
        <v>543</v>
      </c>
      <c r="I434" s="2" t="s">
        <v>151</v>
      </c>
      <c r="J434" s="2" t="s">
        <v>21</v>
      </c>
      <c r="K434" s="2" t="s">
        <v>22</v>
      </c>
      <c r="L434" s="2" t="s">
        <v>1461</v>
      </c>
      <c r="M434" s="2"/>
    </row>
    <row r="435" customFormat="false" ht="23.85" hidden="false" customHeight="false" outlineLevel="0" collapsed="false">
      <c r="A435" s="2" t="s">
        <v>2608</v>
      </c>
      <c r="B435" s="3" t="s">
        <v>2609</v>
      </c>
      <c r="C435" s="2" t="s">
        <v>2610</v>
      </c>
      <c r="D435" s="2" t="s">
        <v>15</v>
      </c>
      <c r="E435" s="2" t="s">
        <v>99</v>
      </c>
      <c r="F435" s="2" t="s">
        <v>2611</v>
      </c>
      <c r="G435" s="2" t="s">
        <v>2612</v>
      </c>
      <c r="H435" s="2" t="s">
        <v>47</v>
      </c>
      <c r="I435" s="2" t="s">
        <v>182</v>
      </c>
      <c r="J435" s="2" t="s">
        <v>86</v>
      </c>
      <c r="K435" s="2" t="s">
        <v>87</v>
      </c>
      <c r="L435" s="2" t="s">
        <v>2613</v>
      </c>
      <c r="M435" s="2"/>
    </row>
    <row r="436" customFormat="false" ht="23.85" hidden="false" customHeight="false" outlineLevel="0" collapsed="false">
      <c r="A436" s="2" t="s">
        <v>2614</v>
      </c>
      <c r="B436" s="3" t="s">
        <v>2615</v>
      </c>
      <c r="C436" s="2" t="s">
        <v>2616</v>
      </c>
      <c r="D436" s="2" t="s">
        <v>231</v>
      </c>
      <c r="E436" s="2" t="s">
        <v>99</v>
      </c>
      <c r="F436" s="2" t="s">
        <v>2617</v>
      </c>
      <c r="G436" s="2" t="s">
        <v>2618</v>
      </c>
      <c r="H436" s="2"/>
      <c r="I436" s="2" t="s">
        <v>119</v>
      </c>
      <c r="J436" s="2" t="s">
        <v>86</v>
      </c>
      <c r="K436" s="2" t="s">
        <v>72</v>
      </c>
      <c r="L436" s="2" t="s">
        <v>2619</v>
      </c>
      <c r="M436" s="2" t="s">
        <v>2620</v>
      </c>
    </row>
    <row r="437" customFormat="false" ht="23.85" hidden="false" customHeight="false" outlineLevel="0" collapsed="false">
      <c r="A437" s="2" t="s">
        <v>2621</v>
      </c>
      <c r="B437" s="3" t="s">
        <v>2622</v>
      </c>
      <c r="C437" s="2" t="s">
        <v>2623</v>
      </c>
      <c r="D437" s="2" t="s">
        <v>15</v>
      </c>
      <c r="E437" s="2" t="s">
        <v>99</v>
      </c>
      <c r="F437" s="2" t="s">
        <v>2624</v>
      </c>
      <c r="G437" s="2" t="s">
        <v>2625</v>
      </c>
      <c r="H437" s="2" t="s">
        <v>47</v>
      </c>
      <c r="I437" s="2" t="s">
        <v>119</v>
      </c>
      <c r="J437" s="2" t="s">
        <v>21</v>
      </c>
      <c r="K437" s="2" t="s">
        <v>72</v>
      </c>
      <c r="L437" s="2" t="s">
        <v>2626</v>
      </c>
      <c r="M437" s="2"/>
    </row>
    <row r="438" customFormat="false" ht="23.85" hidden="false" customHeight="false" outlineLevel="0" collapsed="false">
      <c r="A438" s="2" t="s">
        <v>2627</v>
      </c>
      <c r="B438" s="3" t="s">
        <v>2628</v>
      </c>
      <c r="C438" s="2" t="s">
        <v>2629</v>
      </c>
      <c r="D438" s="2" t="s">
        <v>15</v>
      </c>
      <c r="E438" s="2" t="s">
        <v>99</v>
      </c>
      <c r="F438" s="2" t="s">
        <v>2630</v>
      </c>
      <c r="G438" s="2" t="s">
        <v>2631</v>
      </c>
      <c r="H438" s="2" t="s">
        <v>47</v>
      </c>
      <c r="I438" s="2" t="s">
        <v>119</v>
      </c>
      <c r="J438" s="2" t="s">
        <v>71</v>
      </c>
      <c r="K438" s="2" t="s">
        <v>72</v>
      </c>
      <c r="L438" s="2" t="s">
        <v>2632</v>
      </c>
      <c r="M438" s="2" t="s">
        <v>2633</v>
      </c>
    </row>
    <row r="439" customFormat="false" ht="23.85" hidden="false" customHeight="false" outlineLevel="0" collapsed="false">
      <c r="A439" s="2" t="s">
        <v>2634</v>
      </c>
      <c r="B439" s="3" t="s">
        <v>2635</v>
      </c>
      <c r="C439" s="2" t="s">
        <v>2636</v>
      </c>
      <c r="D439" s="2" t="s">
        <v>43</v>
      </c>
      <c r="E439" s="2" t="s">
        <v>99</v>
      </c>
      <c r="F439" s="2" t="s">
        <v>2637</v>
      </c>
      <c r="G439" s="2" t="s">
        <v>2638</v>
      </c>
      <c r="H439" s="2" t="s">
        <v>543</v>
      </c>
      <c r="I439" s="2" t="s">
        <v>111</v>
      </c>
      <c r="J439" s="2" t="s">
        <v>21</v>
      </c>
      <c r="K439" s="2" t="s">
        <v>22</v>
      </c>
      <c r="L439" s="2" t="s">
        <v>2639</v>
      </c>
      <c r="M439" s="2"/>
    </row>
    <row r="440" customFormat="false" ht="23.85" hidden="false" customHeight="false" outlineLevel="0" collapsed="false">
      <c r="A440" s="2" t="s">
        <v>2640</v>
      </c>
      <c r="B440" s="3" t="s">
        <v>2641</v>
      </c>
      <c r="C440" s="2" t="s">
        <v>2642</v>
      </c>
      <c r="D440" s="2" t="s">
        <v>15</v>
      </c>
      <c r="E440" s="2" t="s">
        <v>99</v>
      </c>
      <c r="F440" s="2" t="s">
        <v>2643</v>
      </c>
      <c r="G440" s="2" t="s">
        <v>2644</v>
      </c>
      <c r="H440" s="2" t="s">
        <v>47</v>
      </c>
      <c r="I440" s="2" t="s">
        <v>119</v>
      </c>
      <c r="J440" s="2" t="s">
        <v>71</v>
      </c>
      <c r="K440" s="2" t="s">
        <v>72</v>
      </c>
      <c r="L440" s="2" t="s">
        <v>2645</v>
      </c>
      <c r="M440" s="2"/>
    </row>
    <row r="441" customFormat="false" ht="23.85" hidden="false" customHeight="false" outlineLevel="0" collapsed="false">
      <c r="A441" s="2" t="s">
        <v>2646</v>
      </c>
      <c r="B441" s="3" t="s">
        <v>2647</v>
      </c>
      <c r="C441" s="2" t="s">
        <v>2648</v>
      </c>
      <c r="D441" s="2" t="s">
        <v>238</v>
      </c>
      <c r="E441" s="2" t="s">
        <v>99</v>
      </c>
      <c r="F441" s="2" t="s">
        <v>2649</v>
      </c>
      <c r="G441" s="2" t="s">
        <v>2650</v>
      </c>
      <c r="H441" s="2" t="s">
        <v>241</v>
      </c>
      <c r="I441" s="2" t="s">
        <v>78</v>
      </c>
      <c r="J441" s="2" t="s">
        <v>71</v>
      </c>
      <c r="K441" s="2" t="s">
        <v>87</v>
      </c>
      <c r="L441" s="2" t="s">
        <v>2651</v>
      </c>
      <c r="M441" s="2"/>
    </row>
    <row r="442" customFormat="false" ht="15" hidden="false" customHeight="false" outlineLevel="0" collapsed="false">
      <c r="A442" s="2" t="s">
        <v>2652</v>
      </c>
      <c r="B442" s="3" t="s">
        <v>2653</v>
      </c>
      <c r="C442" s="2" t="s">
        <v>2654</v>
      </c>
      <c r="D442" s="2" t="s">
        <v>82</v>
      </c>
      <c r="E442" s="2" t="s">
        <v>494</v>
      </c>
      <c r="F442" s="2" t="s">
        <v>2655</v>
      </c>
      <c r="G442" s="2" t="s">
        <v>2656</v>
      </c>
      <c r="H442" s="2" t="s">
        <v>47</v>
      </c>
      <c r="I442" s="2" t="s">
        <v>48</v>
      </c>
      <c r="J442" s="2" t="s">
        <v>71</v>
      </c>
      <c r="K442" s="2" t="s">
        <v>72</v>
      </c>
      <c r="L442" s="2" t="s">
        <v>1167</v>
      </c>
      <c r="M442" s="2"/>
    </row>
    <row r="443" customFormat="false" ht="23.85" hidden="false" customHeight="false" outlineLevel="0" collapsed="false">
      <c r="A443" s="2" t="s">
        <v>2657</v>
      </c>
      <c r="B443" s="3" t="s">
        <v>2658</v>
      </c>
      <c r="C443" s="2" t="s">
        <v>2659</v>
      </c>
      <c r="D443" s="2" t="s">
        <v>15</v>
      </c>
      <c r="E443" s="2" t="s">
        <v>99</v>
      </c>
      <c r="F443" s="2" t="s">
        <v>2660</v>
      </c>
      <c r="G443" s="2" t="s">
        <v>2661</v>
      </c>
      <c r="H443" s="2" t="s">
        <v>1931</v>
      </c>
      <c r="I443" s="2" t="s">
        <v>119</v>
      </c>
      <c r="J443" s="2" t="s">
        <v>86</v>
      </c>
      <c r="K443" s="2" t="s">
        <v>87</v>
      </c>
      <c r="L443" s="2" t="s">
        <v>2662</v>
      </c>
      <c r="M443" s="2"/>
    </row>
    <row r="444" customFormat="false" ht="23.85" hidden="false" customHeight="false" outlineLevel="0" collapsed="false">
      <c r="A444" s="2" t="s">
        <v>2663</v>
      </c>
      <c r="B444" s="3" t="s">
        <v>2664</v>
      </c>
      <c r="C444" s="2" t="s">
        <v>2665</v>
      </c>
      <c r="D444" s="2" t="s">
        <v>15</v>
      </c>
      <c r="E444" s="2" t="s">
        <v>216</v>
      </c>
      <c r="F444" s="2" t="s">
        <v>2666</v>
      </c>
      <c r="G444" s="2" t="s">
        <v>2667</v>
      </c>
      <c r="H444" s="2" t="s">
        <v>47</v>
      </c>
      <c r="I444" s="2" t="s">
        <v>182</v>
      </c>
      <c r="J444" s="2" t="s">
        <v>71</v>
      </c>
      <c r="K444" s="2" t="s">
        <v>87</v>
      </c>
      <c r="L444" s="2" t="s">
        <v>2668</v>
      </c>
      <c r="M444" s="2" t="s">
        <v>2669</v>
      </c>
    </row>
    <row r="445" customFormat="false" ht="23.85" hidden="false" customHeight="false" outlineLevel="0" collapsed="false">
      <c r="A445" s="2" t="s">
        <v>2670</v>
      </c>
      <c r="B445" s="3" t="s">
        <v>2671</v>
      </c>
      <c r="C445" s="2" t="s">
        <v>2672</v>
      </c>
      <c r="D445" s="2" t="s">
        <v>15</v>
      </c>
      <c r="E445" s="2" t="s">
        <v>216</v>
      </c>
      <c r="F445" s="2" t="s">
        <v>2673</v>
      </c>
      <c r="G445" s="2" t="s">
        <v>2674</v>
      </c>
      <c r="H445" s="2" t="s">
        <v>47</v>
      </c>
      <c r="I445" s="2" t="s">
        <v>508</v>
      </c>
      <c r="J445" s="2" t="s">
        <v>86</v>
      </c>
      <c r="K445" s="2" t="s">
        <v>87</v>
      </c>
      <c r="L445" s="2" t="s">
        <v>2675</v>
      </c>
      <c r="M445" s="2"/>
    </row>
    <row r="446" customFormat="false" ht="15" hidden="false" customHeight="false" outlineLevel="0" collapsed="false">
      <c r="A446" s="2" t="s">
        <v>2676</v>
      </c>
      <c r="B446" s="3" t="s">
        <v>2677</v>
      </c>
      <c r="C446" s="2" t="s">
        <v>2678</v>
      </c>
      <c r="D446" s="2" t="s">
        <v>15</v>
      </c>
      <c r="E446" s="2" t="s">
        <v>216</v>
      </c>
      <c r="F446" s="2" t="s">
        <v>2679</v>
      </c>
      <c r="G446" s="2" t="s">
        <v>2680</v>
      </c>
      <c r="H446" s="2" t="s">
        <v>47</v>
      </c>
      <c r="I446" s="2" t="s">
        <v>85</v>
      </c>
      <c r="J446" s="2" t="s">
        <v>71</v>
      </c>
      <c r="K446" s="2" t="s">
        <v>72</v>
      </c>
      <c r="L446" s="2" t="s">
        <v>2681</v>
      </c>
      <c r="M446" s="2"/>
    </row>
    <row r="447" customFormat="false" ht="23.85" hidden="false" customHeight="false" outlineLevel="0" collapsed="false">
      <c r="A447" s="2" t="s">
        <v>2682</v>
      </c>
      <c r="B447" s="3" t="s">
        <v>2683</v>
      </c>
      <c r="C447" s="2" t="s">
        <v>2684</v>
      </c>
      <c r="D447" s="2" t="s">
        <v>15</v>
      </c>
      <c r="E447" s="2" t="s">
        <v>216</v>
      </c>
      <c r="F447" s="2" t="s">
        <v>2685</v>
      </c>
      <c r="G447" s="2" t="s">
        <v>2686</v>
      </c>
      <c r="H447" s="2" t="s">
        <v>47</v>
      </c>
      <c r="I447" s="2" t="s">
        <v>85</v>
      </c>
      <c r="J447" s="2" t="s">
        <v>71</v>
      </c>
      <c r="K447" s="2" t="s">
        <v>72</v>
      </c>
      <c r="L447" s="2" t="s">
        <v>2687</v>
      </c>
      <c r="M447" s="2"/>
    </row>
    <row r="448" customFormat="false" ht="23.85" hidden="false" customHeight="false" outlineLevel="0" collapsed="false">
      <c r="A448" s="2" t="s">
        <v>2688</v>
      </c>
      <c r="B448" s="3" t="s">
        <v>2689</v>
      </c>
      <c r="C448" s="2" t="s">
        <v>2690</v>
      </c>
      <c r="D448" s="2" t="s">
        <v>15</v>
      </c>
      <c r="E448" s="2" t="s">
        <v>216</v>
      </c>
      <c r="F448" s="2" t="s">
        <v>2691</v>
      </c>
      <c r="G448" s="2" t="s">
        <v>2692</v>
      </c>
      <c r="H448" s="2" t="s">
        <v>47</v>
      </c>
      <c r="I448" s="2" t="s">
        <v>85</v>
      </c>
      <c r="J448" s="2" t="s">
        <v>21</v>
      </c>
      <c r="K448" s="2" t="s">
        <v>22</v>
      </c>
      <c r="L448" s="2" t="s">
        <v>2693</v>
      </c>
      <c r="M448" s="2"/>
    </row>
    <row r="449" customFormat="false" ht="23.85" hidden="false" customHeight="false" outlineLevel="0" collapsed="false">
      <c r="A449" s="2" t="s">
        <v>2694</v>
      </c>
      <c r="B449" s="3" t="s">
        <v>2695</v>
      </c>
      <c r="C449" s="2" t="s">
        <v>2696</v>
      </c>
      <c r="D449" s="2" t="s">
        <v>52</v>
      </c>
      <c r="E449" s="2" t="s">
        <v>535</v>
      </c>
      <c r="F449" s="2" t="s">
        <v>2697</v>
      </c>
      <c r="G449" s="2" t="s">
        <v>2698</v>
      </c>
      <c r="H449" s="2"/>
      <c r="I449" s="2" t="s">
        <v>48</v>
      </c>
      <c r="J449" s="2" t="s">
        <v>71</v>
      </c>
      <c r="K449" s="2" t="s">
        <v>72</v>
      </c>
      <c r="L449" s="2" t="s">
        <v>2699</v>
      </c>
      <c r="M449" s="2" t="s">
        <v>2700</v>
      </c>
    </row>
    <row r="450" customFormat="false" ht="23.85" hidden="false" customHeight="false" outlineLevel="0" collapsed="false">
      <c r="A450" s="2" t="s">
        <v>2192</v>
      </c>
      <c r="B450" s="3" t="s">
        <v>2701</v>
      </c>
      <c r="C450" s="2" t="s">
        <v>2702</v>
      </c>
      <c r="D450" s="2" t="s">
        <v>15</v>
      </c>
      <c r="E450" s="2" t="s">
        <v>216</v>
      </c>
      <c r="F450" s="2" t="s">
        <v>2703</v>
      </c>
      <c r="G450" s="2" t="s">
        <v>2704</v>
      </c>
      <c r="H450" s="2" t="s">
        <v>47</v>
      </c>
      <c r="I450" s="2" t="s">
        <v>182</v>
      </c>
      <c r="J450" s="2" t="s">
        <v>86</v>
      </c>
      <c r="K450" s="2" t="s">
        <v>87</v>
      </c>
      <c r="L450" s="2" t="s">
        <v>2705</v>
      </c>
      <c r="M450" s="2"/>
    </row>
    <row r="451" customFormat="false" ht="15" hidden="false" customHeight="false" outlineLevel="0" collapsed="false">
      <c r="A451" s="2" t="s">
        <v>2706</v>
      </c>
      <c r="B451" s="3" t="s">
        <v>2707</v>
      </c>
      <c r="C451" s="2"/>
      <c r="D451" s="2" t="s">
        <v>15</v>
      </c>
      <c r="E451" s="2" t="s">
        <v>99</v>
      </c>
      <c r="F451" s="2" t="s">
        <v>2708</v>
      </c>
      <c r="G451" s="2" t="s">
        <v>2709</v>
      </c>
      <c r="H451" s="2" t="s">
        <v>47</v>
      </c>
      <c r="I451" s="2" t="s">
        <v>94</v>
      </c>
      <c r="J451" s="2" t="s">
        <v>71</v>
      </c>
      <c r="K451" s="2" t="s">
        <v>72</v>
      </c>
      <c r="L451" s="2" t="s">
        <v>2710</v>
      </c>
      <c r="M451" s="2"/>
    </row>
    <row r="452" customFormat="false" ht="15" hidden="false" customHeight="false" outlineLevel="0" collapsed="false">
      <c r="A452" s="2" t="s">
        <v>2711</v>
      </c>
      <c r="B452" s="3" t="s">
        <v>2712</v>
      </c>
      <c r="C452" s="2"/>
      <c r="D452" s="2" t="s">
        <v>251</v>
      </c>
      <c r="E452" s="2" t="s">
        <v>251</v>
      </c>
      <c r="F452" s="2" t="s">
        <v>2713</v>
      </c>
      <c r="G452" s="2" t="s">
        <v>2714</v>
      </c>
      <c r="H452" s="2" t="s">
        <v>255</v>
      </c>
      <c r="I452" s="2" t="s">
        <v>63</v>
      </c>
      <c r="J452" s="2" t="s">
        <v>21</v>
      </c>
      <c r="K452" s="2" t="s">
        <v>22</v>
      </c>
      <c r="L452" s="2" t="s">
        <v>2715</v>
      </c>
      <c r="M452" s="2"/>
    </row>
    <row r="453" customFormat="false" ht="15" hidden="false" customHeight="false" outlineLevel="0" collapsed="false">
      <c r="A453" s="2" t="s">
        <v>2716</v>
      </c>
      <c r="B453" s="3" t="s">
        <v>2717</v>
      </c>
      <c r="C453" s="2" t="s">
        <v>2718</v>
      </c>
      <c r="D453" s="2" t="s">
        <v>15</v>
      </c>
      <c r="E453" s="2" t="s">
        <v>60</v>
      </c>
      <c r="F453" s="2" t="s">
        <v>2719</v>
      </c>
      <c r="G453" s="2" t="s">
        <v>2720</v>
      </c>
      <c r="H453" s="2" t="s">
        <v>47</v>
      </c>
      <c r="I453" s="2" t="s">
        <v>48</v>
      </c>
      <c r="J453" s="2" t="s">
        <v>71</v>
      </c>
      <c r="K453" s="2" t="s">
        <v>22</v>
      </c>
      <c r="L453" s="2" t="s">
        <v>2721</v>
      </c>
      <c r="M453" s="2"/>
    </row>
    <row r="454" customFormat="false" ht="23.85" hidden="false" customHeight="false" outlineLevel="0" collapsed="false">
      <c r="A454" s="2" t="s">
        <v>2722</v>
      </c>
      <c r="B454" s="3" t="s">
        <v>2723</v>
      </c>
      <c r="C454" s="2" t="s">
        <v>2724</v>
      </c>
      <c r="D454" s="2" t="s">
        <v>82</v>
      </c>
      <c r="E454" s="2" t="s">
        <v>216</v>
      </c>
      <c r="F454" s="2" t="s">
        <v>2725</v>
      </c>
      <c r="G454" s="2" t="s">
        <v>2726</v>
      </c>
      <c r="H454" s="2" t="s">
        <v>329</v>
      </c>
      <c r="I454" s="2" t="s">
        <v>85</v>
      </c>
      <c r="J454" s="2" t="s">
        <v>71</v>
      </c>
      <c r="K454" s="2" t="s">
        <v>72</v>
      </c>
      <c r="L454" s="2" t="s">
        <v>2727</v>
      </c>
      <c r="M454" s="2" t="s">
        <v>2728</v>
      </c>
    </row>
    <row r="455" customFormat="false" ht="15" hidden="false" customHeight="false" outlineLevel="0" collapsed="false">
      <c r="A455" s="2" t="s">
        <v>2729</v>
      </c>
      <c r="B455" s="3" t="s">
        <v>2730</v>
      </c>
      <c r="C455" s="2" t="s">
        <v>2731</v>
      </c>
      <c r="D455" s="2" t="s">
        <v>15</v>
      </c>
      <c r="E455" s="2" t="s">
        <v>116</v>
      </c>
      <c r="F455" s="2" t="s">
        <v>2732</v>
      </c>
      <c r="G455" s="2" t="s">
        <v>2733</v>
      </c>
      <c r="H455" s="2" t="s">
        <v>47</v>
      </c>
      <c r="I455" s="2" t="s">
        <v>94</v>
      </c>
      <c r="J455" s="2" t="s">
        <v>21</v>
      </c>
      <c r="K455" s="2" t="s">
        <v>22</v>
      </c>
      <c r="L455" s="2" t="s">
        <v>2734</v>
      </c>
      <c r="M455" s="2"/>
    </row>
    <row r="456" customFormat="false" ht="23.85" hidden="false" customHeight="false" outlineLevel="0" collapsed="false">
      <c r="A456" s="2" t="s">
        <v>2735</v>
      </c>
      <c r="B456" s="3" t="s">
        <v>2736</v>
      </c>
      <c r="C456" s="2" t="s">
        <v>2737</v>
      </c>
      <c r="D456" s="2" t="s">
        <v>106</v>
      </c>
      <c r="E456" s="2" t="s">
        <v>53</v>
      </c>
      <c r="F456" s="2" t="s">
        <v>2738</v>
      </c>
      <c r="G456" s="2" t="s">
        <v>2739</v>
      </c>
      <c r="H456" s="2" t="s">
        <v>110</v>
      </c>
      <c r="I456" s="2" t="s">
        <v>78</v>
      </c>
      <c r="J456" s="2" t="s">
        <v>21</v>
      </c>
      <c r="K456" s="2" t="s">
        <v>72</v>
      </c>
      <c r="L456" s="2" t="s">
        <v>2740</v>
      </c>
      <c r="M456" s="2"/>
    </row>
    <row r="457" customFormat="false" ht="23.85" hidden="false" customHeight="false" outlineLevel="0" collapsed="false">
      <c r="A457" s="2" t="s">
        <v>2741</v>
      </c>
      <c r="B457" s="3" t="s">
        <v>2742</v>
      </c>
      <c r="C457" s="2" t="s">
        <v>2743</v>
      </c>
      <c r="D457" s="2" t="s">
        <v>43</v>
      </c>
      <c r="E457" s="2" t="s">
        <v>99</v>
      </c>
      <c r="F457" s="2" t="s">
        <v>2744</v>
      </c>
      <c r="G457" s="2" t="s">
        <v>2745</v>
      </c>
      <c r="H457" s="2" t="s">
        <v>1006</v>
      </c>
      <c r="I457" s="2" t="s">
        <v>29</v>
      </c>
      <c r="J457" s="2" t="s">
        <v>71</v>
      </c>
      <c r="K457" s="2" t="s">
        <v>72</v>
      </c>
      <c r="L457" s="2" t="s">
        <v>2746</v>
      </c>
      <c r="M457" s="2" t="s">
        <v>2747</v>
      </c>
    </row>
    <row r="458" customFormat="false" ht="15" hidden="false" customHeight="false" outlineLevel="0" collapsed="false">
      <c r="A458" s="2" t="s">
        <v>2748</v>
      </c>
      <c r="B458" s="3" t="s">
        <v>2749</v>
      </c>
      <c r="C458" s="2"/>
      <c r="D458" s="2" t="s">
        <v>15</v>
      </c>
      <c r="E458" s="2" t="s">
        <v>2750</v>
      </c>
      <c r="F458" s="2" t="s">
        <v>2751</v>
      </c>
      <c r="G458" s="2" t="s">
        <v>2752</v>
      </c>
      <c r="H458" s="2" t="s">
        <v>47</v>
      </c>
      <c r="I458" s="2" t="s">
        <v>799</v>
      </c>
      <c r="J458" s="2" t="s">
        <v>86</v>
      </c>
      <c r="K458" s="2" t="s">
        <v>22</v>
      </c>
      <c r="L458" s="2" t="s">
        <v>724</v>
      </c>
      <c r="M458" s="2"/>
    </row>
    <row r="459" customFormat="false" ht="15" hidden="false" customHeight="false" outlineLevel="0" collapsed="false">
      <c r="A459" s="2" t="s">
        <v>2753</v>
      </c>
      <c r="B459" s="3" t="s">
        <v>2754</v>
      </c>
      <c r="C459" s="2" t="s">
        <v>2755</v>
      </c>
      <c r="D459" s="2" t="s">
        <v>15</v>
      </c>
      <c r="E459" s="2" t="s">
        <v>16</v>
      </c>
      <c r="F459" s="2" t="s">
        <v>2756</v>
      </c>
      <c r="G459" s="2" t="s">
        <v>2757</v>
      </c>
      <c r="H459" s="2" t="s">
        <v>47</v>
      </c>
      <c r="I459" s="2" t="s">
        <v>94</v>
      </c>
      <c r="J459" s="2" t="s">
        <v>71</v>
      </c>
      <c r="K459" s="2" t="s">
        <v>72</v>
      </c>
      <c r="L459" s="2" t="s">
        <v>2758</v>
      </c>
      <c r="M459" s="2"/>
    </row>
    <row r="460" customFormat="false" ht="23.85" hidden="false" customHeight="false" outlineLevel="0" collapsed="false">
      <c r="A460" s="2" t="s">
        <v>2759</v>
      </c>
      <c r="B460" s="3" t="s">
        <v>2760</v>
      </c>
      <c r="C460" s="2"/>
      <c r="D460" s="2" t="s">
        <v>223</v>
      </c>
      <c r="E460" s="2" t="s">
        <v>53</v>
      </c>
      <c r="F460" s="2" t="s">
        <v>2761</v>
      </c>
      <c r="G460" s="2" t="s">
        <v>2762</v>
      </c>
      <c r="H460" s="2" t="s">
        <v>2763</v>
      </c>
      <c r="I460" s="2" t="s">
        <v>182</v>
      </c>
      <c r="J460" s="2" t="s">
        <v>86</v>
      </c>
      <c r="K460" s="2" t="s">
        <v>87</v>
      </c>
      <c r="L460" s="2" t="s">
        <v>2764</v>
      </c>
      <c r="M460" s="2"/>
    </row>
    <row r="461" customFormat="false" ht="23.85" hidden="false" customHeight="false" outlineLevel="0" collapsed="false">
      <c r="A461" s="2" t="s">
        <v>2765</v>
      </c>
      <c r="B461" s="3" t="s">
        <v>2766</v>
      </c>
      <c r="C461" s="2" t="s">
        <v>2767</v>
      </c>
      <c r="D461" s="2" t="s">
        <v>15</v>
      </c>
      <c r="E461" s="2" t="s">
        <v>99</v>
      </c>
      <c r="F461" s="2" t="s">
        <v>2768</v>
      </c>
      <c r="G461" s="2" t="s">
        <v>2769</v>
      </c>
      <c r="H461" s="2" t="s">
        <v>2770</v>
      </c>
      <c r="I461" s="2" t="s">
        <v>138</v>
      </c>
      <c r="J461" s="2" t="s">
        <v>86</v>
      </c>
      <c r="K461" s="2" t="s">
        <v>87</v>
      </c>
      <c r="L461" s="2" t="s">
        <v>2771</v>
      </c>
      <c r="M461" s="2"/>
    </row>
    <row r="462" customFormat="false" ht="23.85" hidden="false" customHeight="false" outlineLevel="0" collapsed="false">
      <c r="A462" s="2" t="s">
        <v>2772</v>
      </c>
      <c r="B462" s="3" t="s">
        <v>2773</v>
      </c>
      <c r="C462" s="2" t="s">
        <v>2774</v>
      </c>
      <c r="D462" s="2" t="s">
        <v>82</v>
      </c>
      <c r="E462" s="2" t="s">
        <v>116</v>
      </c>
      <c r="F462" s="2" t="s">
        <v>2775</v>
      </c>
      <c r="G462" s="2" t="s">
        <v>2776</v>
      </c>
      <c r="H462" s="2" t="s">
        <v>47</v>
      </c>
      <c r="I462" s="2" t="s">
        <v>20</v>
      </c>
      <c r="J462" s="2" t="s">
        <v>71</v>
      </c>
      <c r="K462" s="2" t="s">
        <v>72</v>
      </c>
      <c r="L462" s="2" t="s">
        <v>2777</v>
      </c>
      <c r="M462" s="2" t="s">
        <v>2778</v>
      </c>
    </row>
    <row r="463" customFormat="false" ht="23.85" hidden="false" customHeight="false" outlineLevel="0" collapsed="false">
      <c r="A463" s="2" t="s">
        <v>2779</v>
      </c>
      <c r="B463" s="3" t="s">
        <v>2780</v>
      </c>
      <c r="C463" s="2"/>
      <c r="D463" s="2" t="s">
        <v>52</v>
      </c>
      <c r="E463" s="2" t="s">
        <v>60</v>
      </c>
      <c r="F463" s="2" t="s">
        <v>2781</v>
      </c>
      <c r="G463" s="2" t="s">
        <v>2782</v>
      </c>
      <c r="H463" s="2"/>
      <c r="I463" s="2" t="s">
        <v>48</v>
      </c>
      <c r="J463" s="2" t="s">
        <v>21</v>
      </c>
      <c r="K463" s="2" t="s">
        <v>22</v>
      </c>
      <c r="L463" s="2" t="s">
        <v>844</v>
      </c>
      <c r="M463" s="2"/>
    </row>
    <row r="464" customFormat="false" ht="23.85" hidden="false" customHeight="false" outlineLevel="0" collapsed="false">
      <c r="A464" s="2" t="s">
        <v>2783</v>
      </c>
      <c r="B464" s="3" t="s">
        <v>2784</v>
      </c>
      <c r="C464" s="2"/>
      <c r="D464" s="2" t="s">
        <v>106</v>
      </c>
      <c r="E464" s="2" t="s">
        <v>53</v>
      </c>
      <c r="F464" s="2" t="s">
        <v>2785</v>
      </c>
      <c r="G464" s="2" t="s">
        <v>2786</v>
      </c>
      <c r="H464" s="2" t="s">
        <v>110</v>
      </c>
      <c r="I464" s="2" t="s">
        <v>78</v>
      </c>
      <c r="J464" s="2" t="s">
        <v>71</v>
      </c>
      <c r="K464" s="2" t="s">
        <v>72</v>
      </c>
      <c r="L464" s="2" t="s">
        <v>2787</v>
      </c>
      <c r="M464" s="2"/>
    </row>
    <row r="465" customFormat="false" ht="23.85" hidden="false" customHeight="false" outlineLevel="0" collapsed="false">
      <c r="A465" s="2" t="s">
        <v>2788</v>
      </c>
      <c r="B465" s="3" t="s">
        <v>2789</v>
      </c>
      <c r="C465" s="2" t="s">
        <v>2790</v>
      </c>
      <c r="D465" s="2" t="s">
        <v>179</v>
      </c>
      <c r="E465" s="2" t="s">
        <v>53</v>
      </c>
      <c r="F465" s="2" t="s">
        <v>2791</v>
      </c>
      <c r="G465" s="2" t="s">
        <v>2792</v>
      </c>
      <c r="H465" s="2" t="s">
        <v>47</v>
      </c>
      <c r="I465" s="2" t="s">
        <v>20</v>
      </c>
      <c r="J465" s="2" t="s">
        <v>86</v>
      </c>
      <c r="K465" s="2" t="s">
        <v>72</v>
      </c>
      <c r="L465" s="2" t="s">
        <v>2793</v>
      </c>
      <c r="M465" s="2"/>
    </row>
    <row r="466" customFormat="false" ht="23.85" hidden="false" customHeight="false" outlineLevel="0" collapsed="false">
      <c r="A466" s="2" t="s">
        <v>2794</v>
      </c>
      <c r="B466" s="3" t="s">
        <v>2795</v>
      </c>
      <c r="C466" s="2" t="s">
        <v>2796</v>
      </c>
      <c r="D466" s="2" t="s">
        <v>59</v>
      </c>
      <c r="E466" s="2" t="s">
        <v>53</v>
      </c>
      <c r="F466" s="2" t="s">
        <v>2797</v>
      </c>
      <c r="G466" s="2" t="s">
        <v>2798</v>
      </c>
      <c r="H466" s="2" t="s">
        <v>543</v>
      </c>
      <c r="I466" s="2" t="s">
        <v>48</v>
      </c>
      <c r="J466" s="2" t="s">
        <v>71</v>
      </c>
      <c r="K466" s="2" t="s">
        <v>72</v>
      </c>
      <c r="L466" s="2" t="s">
        <v>2799</v>
      </c>
      <c r="M466" s="2"/>
    </row>
    <row r="467" customFormat="false" ht="23.85" hidden="false" customHeight="false" outlineLevel="0" collapsed="false">
      <c r="A467" s="2" t="s">
        <v>2800</v>
      </c>
      <c r="B467" s="3" t="s">
        <v>2801</v>
      </c>
      <c r="C467" s="2"/>
      <c r="D467" s="2" t="s">
        <v>231</v>
      </c>
      <c r="E467" s="2" t="s">
        <v>53</v>
      </c>
      <c r="F467" s="2" t="s">
        <v>2802</v>
      </c>
      <c r="G467" s="2" t="s">
        <v>2803</v>
      </c>
      <c r="H467" s="2"/>
      <c r="I467" s="2" t="s">
        <v>20</v>
      </c>
      <c r="J467" s="2" t="s">
        <v>86</v>
      </c>
      <c r="K467" s="2" t="s">
        <v>72</v>
      </c>
      <c r="L467" s="2" t="s">
        <v>2804</v>
      </c>
      <c r="M467" s="2"/>
    </row>
    <row r="468" customFormat="false" ht="23.85" hidden="false" customHeight="false" outlineLevel="0" collapsed="false">
      <c r="A468" s="2" t="s">
        <v>2805</v>
      </c>
      <c r="B468" s="3" t="s">
        <v>2806</v>
      </c>
      <c r="C468" s="2" t="s">
        <v>2807</v>
      </c>
      <c r="D468" s="2" t="s">
        <v>15</v>
      </c>
      <c r="E468" s="2" t="s">
        <v>2808</v>
      </c>
      <c r="F468" s="2" t="s">
        <v>2809</v>
      </c>
      <c r="G468" s="2" t="s">
        <v>2810</v>
      </c>
      <c r="H468" s="2" t="s">
        <v>47</v>
      </c>
      <c r="I468" s="2" t="s">
        <v>48</v>
      </c>
      <c r="J468" s="2" t="s">
        <v>71</v>
      </c>
      <c r="K468" s="2" t="s">
        <v>22</v>
      </c>
      <c r="L468" s="2" t="s">
        <v>2811</v>
      </c>
      <c r="M468" s="2"/>
    </row>
    <row r="469" customFormat="false" ht="23.85" hidden="false" customHeight="false" outlineLevel="0" collapsed="false">
      <c r="A469" s="2" t="s">
        <v>2812</v>
      </c>
      <c r="B469" s="3" t="s">
        <v>2813</v>
      </c>
      <c r="C469" s="2" t="s">
        <v>2814</v>
      </c>
      <c r="D469" s="2" t="s">
        <v>15</v>
      </c>
      <c r="E469" s="2" t="s">
        <v>16</v>
      </c>
      <c r="F469" s="2" t="s">
        <v>2815</v>
      </c>
      <c r="G469" s="2" t="s">
        <v>2816</v>
      </c>
      <c r="H469" s="2" t="s">
        <v>47</v>
      </c>
      <c r="I469" s="2" t="s">
        <v>182</v>
      </c>
      <c r="J469" s="2" t="s">
        <v>21</v>
      </c>
      <c r="K469" s="2" t="s">
        <v>72</v>
      </c>
      <c r="L469" s="2" t="s">
        <v>2817</v>
      </c>
      <c r="M469" s="2" t="s">
        <v>2818</v>
      </c>
    </row>
    <row r="470" customFormat="false" ht="15" hidden="false" customHeight="false" outlineLevel="0" collapsed="false">
      <c r="A470" s="2" t="s">
        <v>2819</v>
      </c>
      <c r="B470" s="3" t="s">
        <v>2820</v>
      </c>
      <c r="C470" s="2" t="s">
        <v>2821</v>
      </c>
      <c r="D470" s="2" t="s">
        <v>223</v>
      </c>
      <c r="E470" s="2" t="s">
        <v>53</v>
      </c>
      <c r="F470" s="2" t="s">
        <v>2822</v>
      </c>
      <c r="G470" s="2" t="s">
        <v>2823</v>
      </c>
      <c r="H470" s="2" t="s">
        <v>1218</v>
      </c>
      <c r="I470" s="2" t="s">
        <v>48</v>
      </c>
      <c r="J470" s="2" t="s">
        <v>71</v>
      </c>
      <c r="K470" s="2" t="s">
        <v>72</v>
      </c>
      <c r="L470" s="2" t="s">
        <v>2824</v>
      </c>
      <c r="M470" s="2"/>
    </row>
    <row r="471" customFormat="false" ht="23.85" hidden="false" customHeight="false" outlineLevel="0" collapsed="false">
      <c r="A471" s="2" t="s">
        <v>2825</v>
      </c>
      <c r="B471" s="3" t="s">
        <v>2826</v>
      </c>
      <c r="C471" s="2"/>
      <c r="D471" s="2" t="s">
        <v>238</v>
      </c>
      <c r="E471" s="2" t="s">
        <v>99</v>
      </c>
      <c r="F471" s="2" t="s">
        <v>2827</v>
      </c>
      <c r="G471" s="2" t="s">
        <v>2828</v>
      </c>
      <c r="H471" s="2" t="s">
        <v>241</v>
      </c>
      <c r="I471" s="2" t="s">
        <v>94</v>
      </c>
      <c r="J471" s="2" t="s">
        <v>71</v>
      </c>
      <c r="K471" s="2" t="s">
        <v>22</v>
      </c>
      <c r="L471" s="2" t="s">
        <v>2829</v>
      </c>
      <c r="M471" s="2" t="s">
        <v>2830</v>
      </c>
    </row>
    <row r="472" customFormat="false" ht="23.85" hidden="false" customHeight="false" outlineLevel="0" collapsed="false">
      <c r="A472" s="2" t="s">
        <v>2831</v>
      </c>
      <c r="B472" s="3" t="s">
        <v>2832</v>
      </c>
      <c r="C472" s="2" t="s">
        <v>2833</v>
      </c>
      <c r="D472" s="2" t="s">
        <v>251</v>
      </c>
      <c r="E472" s="2" t="s">
        <v>252</v>
      </c>
      <c r="F472" s="2" t="s">
        <v>2834</v>
      </c>
      <c r="G472" s="2" t="s">
        <v>2835</v>
      </c>
      <c r="H472" s="2" t="s">
        <v>255</v>
      </c>
      <c r="I472" s="2" t="s">
        <v>256</v>
      </c>
      <c r="J472" s="2" t="s">
        <v>21</v>
      </c>
      <c r="K472" s="2" t="s">
        <v>22</v>
      </c>
      <c r="L472" s="2" t="s">
        <v>2836</v>
      </c>
      <c r="M472" s="2"/>
    </row>
    <row r="473" customFormat="false" ht="23.85" hidden="false" customHeight="false" outlineLevel="0" collapsed="false">
      <c r="A473" s="2" t="s">
        <v>2837</v>
      </c>
      <c r="B473" s="3" t="s">
        <v>2838</v>
      </c>
      <c r="C473" s="2"/>
      <c r="D473" s="2" t="s">
        <v>52</v>
      </c>
      <c r="E473" s="2" t="s">
        <v>2839</v>
      </c>
      <c r="F473" s="2" t="s">
        <v>2840</v>
      </c>
      <c r="G473" s="2" t="s">
        <v>2841</v>
      </c>
      <c r="H473" s="2" t="s">
        <v>47</v>
      </c>
      <c r="I473" s="2" t="s">
        <v>63</v>
      </c>
      <c r="J473" s="2" t="s">
        <v>21</v>
      </c>
      <c r="K473" s="2" t="s">
        <v>22</v>
      </c>
      <c r="L473" s="2" t="s">
        <v>2842</v>
      </c>
      <c r="M473" s="2"/>
    </row>
    <row r="474" customFormat="false" ht="23.85" hidden="false" customHeight="false" outlineLevel="0" collapsed="false">
      <c r="A474" s="2" t="s">
        <v>1349</v>
      </c>
      <c r="B474" s="3" t="s">
        <v>2843</v>
      </c>
      <c r="C474" s="2"/>
      <c r="D474" s="2" t="s">
        <v>15</v>
      </c>
      <c r="E474" s="2" t="s">
        <v>2844</v>
      </c>
      <c r="F474" s="2" t="s">
        <v>2845</v>
      </c>
      <c r="G474" s="2" t="s">
        <v>2846</v>
      </c>
      <c r="H474" s="2" t="s">
        <v>47</v>
      </c>
      <c r="I474" s="2" t="s">
        <v>78</v>
      </c>
      <c r="J474" s="2" t="s">
        <v>71</v>
      </c>
      <c r="K474" s="2" t="s">
        <v>72</v>
      </c>
      <c r="L474" s="2" t="s">
        <v>2847</v>
      </c>
      <c r="M474" s="2" t="s">
        <v>2848</v>
      </c>
    </row>
    <row r="475" customFormat="false" ht="23.85" hidden="false" customHeight="false" outlineLevel="0" collapsed="false">
      <c r="A475" s="2" t="s">
        <v>2849</v>
      </c>
      <c r="B475" s="3" t="s">
        <v>2850</v>
      </c>
      <c r="C475" s="2"/>
      <c r="D475" s="2" t="s">
        <v>82</v>
      </c>
      <c r="E475" s="2" t="s">
        <v>216</v>
      </c>
      <c r="F475" s="2" t="s">
        <v>2851</v>
      </c>
      <c r="G475" s="2" t="s">
        <v>2852</v>
      </c>
      <c r="H475" s="2" t="s">
        <v>47</v>
      </c>
      <c r="I475" s="2" t="s">
        <v>63</v>
      </c>
      <c r="J475" s="2" t="s">
        <v>21</v>
      </c>
      <c r="K475" s="2" t="s">
        <v>22</v>
      </c>
      <c r="L475" s="2" t="s">
        <v>2853</v>
      </c>
      <c r="M475" s="2" t="s">
        <v>2854</v>
      </c>
    </row>
    <row r="476" customFormat="false" ht="15" hidden="false" customHeight="false" outlineLevel="0" collapsed="false">
      <c r="A476" s="2" t="s">
        <v>2855</v>
      </c>
      <c r="B476" s="3" t="s">
        <v>2856</v>
      </c>
      <c r="C476" s="2"/>
      <c r="D476" s="2" t="s">
        <v>106</v>
      </c>
      <c r="E476" s="2" t="s">
        <v>53</v>
      </c>
      <c r="F476" s="2" t="s">
        <v>2857</v>
      </c>
      <c r="G476" s="2" t="s">
        <v>2858</v>
      </c>
      <c r="H476" s="2" t="s">
        <v>410</v>
      </c>
      <c r="I476" s="2" t="s">
        <v>48</v>
      </c>
      <c r="J476" s="2" t="s">
        <v>71</v>
      </c>
      <c r="K476" s="2" t="s">
        <v>72</v>
      </c>
      <c r="L476" s="2" t="s">
        <v>2859</v>
      </c>
      <c r="M476" s="2"/>
    </row>
    <row r="477" customFormat="false" ht="15" hidden="false" customHeight="false" outlineLevel="0" collapsed="false">
      <c r="A477" s="2" t="s">
        <v>2860</v>
      </c>
      <c r="B477" s="3" t="s">
        <v>2861</v>
      </c>
      <c r="C477" s="2" t="s">
        <v>2862</v>
      </c>
      <c r="D477" s="2" t="s">
        <v>34</v>
      </c>
      <c r="E477" s="2" t="s">
        <v>208</v>
      </c>
      <c r="F477" s="2" t="s">
        <v>2863</v>
      </c>
      <c r="G477" s="2" t="s">
        <v>2864</v>
      </c>
      <c r="H477" s="2" t="s">
        <v>38</v>
      </c>
      <c r="I477" s="2" t="s">
        <v>29</v>
      </c>
      <c r="J477" s="2" t="s">
        <v>86</v>
      </c>
      <c r="K477" s="2" t="s">
        <v>72</v>
      </c>
      <c r="L477" s="2" t="s">
        <v>2865</v>
      </c>
      <c r="M477" s="2"/>
    </row>
    <row r="478" customFormat="false" ht="15" hidden="false" customHeight="false" outlineLevel="0" collapsed="false">
      <c r="A478" s="2" t="s">
        <v>2866</v>
      </c>
      <c r="B478" s="3" t="s">
        <v>2867</v>
      </c>
      <c r="C478" s="2"/>
      <c r="D478" s="2" t="s">
        <v>15</v>
      </c>
      <c r="E478" s="2" t="s">
        <v>1346</v>
      </c>
      <c r="F478" s="2" t="s">
        <v>2868</v>
      </c>
      <c r="G478" s="2" t="s">
        <v>2869</v>
      </c>
      <c r="H478" s="2" t="s">
        <v>47</v>
      </c>
      <c r="I478" s="2" t="s">
        <v>63</v>
      </c>
      <c r="J478" s="2" t="s">
        <v>21</v>
      </c>
      <c r="K478" s="2" t="s">
        <v>22</v>
      </c>
      <c r="L478" s="2" t="s">
        <v>1349</v>
      </c>
      <c r="M478" s="2"/>
    </row>
    <row r="479" customFormat="false" ht="15" hidden="false" customHeight="false" outlineLevel="0" collapsed="false">
      <c r="A479" s="2" t="s">
        <v>2870</v>
      </c>
      <c r="B479" s="3" t="s">
        <v>2871</v>
      </c>
      <c r="C479" s="2" t="s">
        <v>2872</v>
      </c>
      <c r="D479" s="2" t="s">
        <v>223</v>
      </c>
      <c r="E479" s="2" t="s">
        <v>53</v>
      </c>
      <c r="F479" s="2" t="s">
        <v>2873</v>
      </c>
      <c r="G479" s="2" t="s">
        <v>2874</v>
      </c>
      <c r="H479" s="2" t="s">
        <v>226</v>
      </c>
      <c r="I479" s="2" t="s">
        <v>138</v>
      </c>
      <c r="J479" s="2" t="s">
        <v>86</v>
      </c>
      <c r="K479" s="2" t="s">
        <v>87</v>
      </c>
      <c r="L479" s="2" t="s">
        <v>2875</v>
      </c>
      <c r="M479" s="2"/>
    </row>
    <row r="480" customFormat="false" ht="15" hidden="false" customHeight="false" outlineLevel="0" collapsed="false">
      <c r="A480" s="2" t="s">
        <v>2876</v>
      </c>
      <c r="B480" s="3" t="s">
        <v>2877</v>
      </c>
      <c r="C480" s="2" t="s">
        <v>2878</v>
      </c>
      <c r="D480" s="2" t="s">
        <v>82</v>
      </c>
      <c r="E480" s="2" t="s">
        <v>60</v>
      </c>
      <c r="F480" s="2" t="s">
        <v>2879</v>
      </c>
      <c r="G480" s="2" t="s">
        <v>2880</v>
      </c>
      <c r="H480" s="2" t="s">
        <v>47</v>
      </c>
      <c r="I480" s="2" t="s">
        <v>63</v>
      </c>
      <c r="J480" s="2" t="s">
        <v>21</v>
      </c>
      <c r="K480" s="2" t="s">
        <v>22</v>
      </c>
      <c r="L480" s="2" t="s">
        <v>844</v>
      </c>
      <c r="M480" s="2" t="s">
        <v>2881</v>
      </c>
    </row>
    <row r="481" customFormat="false" ht="23.85" hidden="false" customHeight="false" outlineLevel="0" collapsed="false">
      <c r="A481" s="2" t="s">
        <v>2882</v>
      </c>
      <c r="B481" s="3" t="s">
        <v>2883</v>
      </c>
      <c r="C481" s="2"/>
      <c r="D481" s="2" t="s">
        <v>179</v>
      </c>
      <c r="E481" s="2" t="s">
        <v>53</v>
      </c>
      <c r="F481" s="2" t="s">
        <v>2884</v>
      </c>
      <c r="G481" s="2" t="s">
        <v>2885</v>
      </c>
      <c r="H481" s="2" t="s">
        <v>624</v>
      </c>
      <c r="I481" s="2" t="s">
        <v>20</v>
      </c>
      <c r="J481" s="2" t="s">
        <v>86</v>
      </c>
      <c r="K481" s="2" t="s">
        <v>72</v>
      </c>
      <c r="L481" s="2" t="s">
        <v>2886</v>
      </c>
      <c r="M481" s="2" t="s">
        <v>2887</v>
      </c>
    </row>
    <row r="482" customFormat="false" ht="23.85" hidden="false" customHeight="false" outlineLevel="0" collapsed="false">
      <c r="A482" s="2" t="s">
        <v>2888</v>
      </c>
      <c r="B482" s="3" t="s">
        <v>2889</v>
      </c>
      <c r="C482" s="2"/>
      <c r="D482" s="2" t="s">
        <v>179</v>
      </c>
      <c r="E482" s="2" t="s">
        <v>53</v>
      </c>
      <c r="F482" s="2" t="s">
        <v>2890</v>
      </c>
      <c r="G482" s="2" t="s">
        <v>2891</v>
      </c>
      <c r="H482" s="2" t="s">
        <v>38</v>
      </c>
      <c r="I482" s="2" t="s">
        <v>48</v>
      </c>
      <c r="J482" s="2" t="s">
        <v>71</v>
      </c>
      <c r="K482" s="2" t="s">
        <v>22</v>
      </c>
      <c r="L482" s="2" t="s">
        <v>2892</v>
      </c>
      <c r="M482" s="2"/>
    </row>
    <row r="483" customFormat="false" ht="23.85" hidden="false" customHeight="false" outlineLevel="0" collapsed="false">
      <c r="A483" s="2" t="s">
        <v>2893</v>
      </c>
      <c r="B483" s="3" t="s">
        <v>2894</v>
      </c>
      <c r="C483" s="2"/>
      <c r="D483" s="2" t="s">
        <v>179</v>
      </c>
      <c r="E483" s="2" t="s">
        <v>53</v>
      </c>
      <c r="F483" s="2" t="s">
        <v>2895</v>
      </c>
      <c r="G483" s="2" t="s">
        <v>2896</v>
      </c>
      <c r="H483" s="2" t="s">
        <v>2897</v>
      </c>
      <c r="I483" s="2" t="s">
        <v>182</v>
      </c>
      <c r="J483" s="2" t="s">
        <v>86</v>
      </c>
      <c r="K483" s="2" t="s">
        <v>87</v>
      </c>
      <c r="L483" s="2" t="s">
        <v>2898</v>
      </c>
      <c r="M483" s="2" t="s">
        <v>2899</v>
      </c>
    </row>
    <row r="484" customFormat="false" ht="23.85" hidden="false" customHeight="false" outlineLevel="0" collapsed="false">
      <c r="A484" s="2" t="s">
        <v>2900</v>
      </c>
      <c r="B484" s="3" t="s">
        <v>2901</v>
      </c>
      <c r="C484" s="2" t="s">
        <v>2902</v>
      </c>
      <c r="D484" s="2" t="s">
        <v>238</v>
      </c>
      <c r="E484" s="2" t="s">
        <v>53</v>
      </c>
      <c r="F484" s="2" t="s">
        <v>2903</v>
      </c>
      <c r="G484" s="2" t="s">
        <v>2904</v>
      </c>
      <c r="H484" s="2" t="s">
        <v>241</v>
      </c>
      <c r="I484" s="2" t="s">
        <v>20</v>
      </c>
      <c r="J484" s="2" t="s">
        <v>86</v>
      </c>
      <c r="K484" s="2" t="s">
        <v>72</v>
      </c>
      <c r="L484" s="2" t="s">
        <v>2905</v>
      </c>
      <c r="M484" s="2" t="s">
        <v>2906</v>
      </c>
    </row>
    <row r="485" customFormat="false" ht="23.85" hidden="false" customHeight="false" outlineLevel="0" collapsed="false">
      <c r="A485" s="2" t="s">
        <v>2907</v>
      </c>
      <c r="B485" s="3" t="s">
        <v>2908</v>
      </c>
      <c r="C485" s="2"/>
      <c r="D485" s="2" t="s">
        <v>238</v>
      </c>
      <c r="E485" s="2" t="s">
        <v>53</v>
      </c>
      <c r="F485" s="2" t="s">
        <v>2909</v>
      </c>
      <c r="G485" s="2" t="s">
        <v>2910</v>
      </c>
      <c r="H485" s="2" t="s">
        <v>241</v>
      </c>
      <c r="I485" s="2" t="s">
        <v>111</v>
      </c>
      <c r="J485" s="2" t="s">
        <v>21</v>
      </c>
      <c r="K485" s="2" t="s">
        <v>22</v>
      </c>
      <c r="L485" s="2" t="s">
        <v>2911</v>
      </c>
      <c r="M485" s="2" t="s">
        <v>2912</v>
      </c>
    </row>
    <row r="486" customFormat="false" ht="15" hidden="false" customHeight="false" outlineLevel="0" collapsed="false">
      <c r="A486" s="2" t="s">
        <v>2913</v>
      </c>
      <c r="B486" s="3" t="s">
        <v>2914</v>
      </c>
      <c r="C486" s="2"/>
      <c r="D486" s="2" t="s">
        <v>43</v>
      </c>
      <c r="E486" s="2" t="s">
        <v>53</v>
      </c>
      <c r="F486" s="2" t="s">
        <v>2915</v>
      </c>
      <c r="G486" s="2" t="s">
        <v>2916</v>
      </c>
      <c r="H486" s="2"/>
      <c r="I486" s="2" t="s">
        <v>111</v>
      </c>
      <c r="J486" s="2" t="s">
        <v>71</v>
      </c>
      <c r="K486" s="2" t="s">
        <v>22</v>
      </c>
      <c r="L486" s="2" t="s">
        <v>2917</v>
      </c>
      <c r="M486" s="2"/>
    </row>
    <row r="487" customFormat="false" ht="23.85" hidden="false" customHeight="false" outlineLevel="0" collapsed="false">
      <c r="A487" s="2" t="s">
        <v>2918</v>
      </c>
      <c r="B487" s="3" t="s">
        <v>2919</v>
      </c>
      <c r="C487" s="2"/>
      <c r="D487" s="2" t="s">
        <v>59</v>
      </c>
      <c r="E487" s="2" t="s">
        <v>53</v>
      </c>
      <c r="F487" s="2" t="s">
        <v>2920</v>
      </c>
      <c r="G487" s="2" t="s">
        <v>2921</v>
      </c>
      <c r="H487" s="2" t="s">
        <v>1988</v>
      </c>
      <c r="I487" s="2" t="s">
        <v>182</v>
      </c>
      <c r="J487" s="2" t="s">
        <v>86</v>
      </c>
      <c r="K487" s="2" t="s">
        <v>72</v>
      </c>
      <c r="L487" s="2" t="s">
        <v>2922</v>
      </c>
      <c r="M487" s="2" t="s">
        <v>2923</v>
      </c>
    </row>
    <row r="488" customFormat="false" ht="23.85" hidden="false" customHeight="false" outlineLevel="0" collapsed="false">
      <c r="A488" s="2" t="s">
        <v>2376</v>
      </c>
      <c r="B488" s="3" t="s">
        <v>2924</v>
      </c>
      <c r="C488" s="2"/>
      <c r="D488" s="2" t="s">
        <v>238</v>
      </c>
      <c r="E488" s="2" t="s">
        <v>53</v>
      </c>
      <c r="F488" s="2" t="s">
        <v>2925</v>
      </c>
      <c r="G488" s="2" t="s">
        <v>2926</v>
      </c>
      <c r="H488" s="2" t="s">
        <v>241</v>
      </c>
      <c r="I488" s="2" t="s">
        <v>256</v>
      </c>
      <c r="J488" s="2" t="s">
        <v>21</v>
      </c>
      <c r="K488" s="2" t="s">
        <v>22</v>
      </c>
      <c r="L488" s="2" t="s">
        <v>2372</v>
      </c>
      <c r="M488" s="2"/>
    </row>
    <row r="489" customFormat="false" ht="15" hidden="false" customHeight="false" outlineLevel="0" collapsed="false">
      <c r="A489" s="2" t="s">
        <v>2927</v>
      </c>
      <c r="B489" s="3" t="s">
        <v>2928</v>
      </c>
      <c r="C489" s="2" t="s">
        <v>2929</v>
      </c>
      <c r="D489" s="2" t="s">
        <v>43</v>
      </c>
      <c r="E489" s="2" t="s">
        <v>1387</v>
      </c>
      <c r="F489" s="2" t="s">
        <v>2930</v>
      </c>
      <c r="G489" s="2" t="s">
        <v>2931</v>
      </c>
      <c r="H489" s="2" t="s">
        <v>2932</v>
      </c>
      <c r="I489" s="2" t="s">
        <v>138</v>
      </c>
      <c r="J489" s="2" t="s">
        <v>86</v>
      </c>
      <c r="K489" s="2" t="s">
        <v>87</v>
      </c>
      <c r="L489" s="2" t="s">
        <v>2933</v>
      </c>
      <c r="M489" s="2" t="s">
        <v>2934</v>
      </c>
    </row>
    <row r="490" customFormat="false" ht="23.85" hidden="false" customHeight="false" outlineLevel="0" collapsed="false">
      <c r="A490" s="2" t="s">
        <v>1919</v>
      </c>
      <c r="B490" s="3" t="s">
        <v>2935</v>
      </c>
      <c r="C490" s="2" t="s">
        <v>2936</v>
      </c>
      <c r="D490" s="2" t="s">
        <v>82</v>
      </c>
      <c r="E490" s="2" t="s">
        <v>53</v>
      </c>
      <c r="F490" s="2" t="s">
        <v>2937</v>
      </c>
      <c r="G490" s="2" t="s">
        <v>2938</v>
      </c>
      <c r="H490" s="2" t="s">
        <v>47</v>
      </c>
      <c r="I490" s="2" t="s">
        <v>182</v>
      </c>
      <c r="J490" s="2" t="s">
        <v>86</v>
      </c>
      <c r="K490" s="2" t="s">
        <v>87</v>
      </c>
      <c r="L490" s="2" t="s">
        <v>2939</v>
      </c>
      <c r="M490" s="2"/>
    </row>
    <row r="491" customFormat="false" ht="23.85" hidden="false" customHeight="false" outlineLevel="0" collapsed="false">
      <c r="A491" s="2" t="s">
        <v>2940</v>
      </c>
      <c r="B491" s="3" t="s">
        <v>2941</v>
      </c>
      <c r="C491" s="2" t="s">
        <v>2942</v>
      </c>
      <c r="D491" s="2" t="s">
        <v>34</v>
      </c>
      <c r="E491" s="2" t="s">
        <v>266</v>
      </c>
      <c r="F491" s="2" t="s">
        <v>2943</v>
      </c>
      <c r="G491" s="2" t="s">
        <v>2944</v>
      </c>
      <c r="H491" s="2" t="s">
        <v>1288</v>
      </c>
      <c r="I491" s="2" t="s">
        <v>29</v>
      </c>
      <c r="J491" s="2" t="s">
        <v>71</v>
      </c>
      <c r="K491" s="2" t="s">
        <v>72</v>
      </c>
      <c r="L491" s="2" t="s">
        <v>2945</v>
      </c>
      <c r="M491" s="2"/>
    </row>
    <row r="492" customFormat="false" ht="23.85" hidden="false" customHeight="false" outlineLevel="0" collapsed="false">
      <c r="A492" s="2" t="s">
        <v>1149</v>
      </c>
      <c r="B492" s="3" t="s">
        <v>2946</v>
      </c>
      <c r="C492" s="2" t="s">
        <v>2947</v>
      </c>
      <c r="D492" s="2" t="s">
        <v>106</v>
      </c>
      <c r="E492" s="2" t="s">
        <v>252</v>
      </c>
      <c r="F492" s="2" t="s">
        <v>2948</v>
      </c>
      <c r="G492" s="2" t="s">
        <v>2949</v>
      </c>
      <c r="H492" s="2" t="s">
        <v>110</v>
      </c>
      <c r="I492" s="2" t="s">
        <v>256</v>
      </c>
      <c r="J492" s="2" t="s">
        <v>21</v>
      </c>
      <c r="K492" s="2" t="s">
        <v>22</v>
      </c>
      <c r="L492" s="2" t="s">
        <v>2950</v>
      </c>
      <c r="M492" s="2"/>
    </row>
    <row r="493" customFormat="false" ht="23.85" hidden="false" customHeight="false" outlineLevel="0" collapsed="false">
      <c r="A493" s="2" t="s">
        <v>2951</v>
      </c>
      <c r="B493" s="3" t="s">
        <v>2952</v>
      </c>
      <c r="C493" s="2"/>
      <c r="D493" s="2" t="s">
        <v>179</v>
      </c>
      <c r="E493" s="2" t="s">
        <v>53</v>
      </c>
      <c r="F493" s="2" t="s">
        <v>2953</v>
      </c>
      <c r="G493" s="2" t="s">
        <v>2954</v>
      </c>
      <c r="H493" s="2" t="s">
        <v>329</v>
      </c>
      <c r="I493" s="2" t="s">
        <v>182</v>
      </c>
      <c r="J493" s="2" t="s">
        <v>86</v>
      </c>
      <c r="K493" s="2" t="s">
        <v>87</v>
      </c>
      <c r="L493" s="2" t="s">
        <v>2955</v>
      </c>
      <c r="M493" s="2"/>
    </row>
    <row r="494" customFormat="false" ht="23.85" hidden="false" customHeight="false" outlineLevel="0" collapsed="false">
      <c r="A494" s="2" t="s">
        <v>2956</v>
      </c>
      <c r="B494" s="3" t="s">
        <v>2957</v>
      </c>
      <c r="C494" s="2" t="s">
        <v>2958</v>
      </c>
      <c r="D494" s="2" t="s">
        <v>15</v>
      </c>
      <c r="E494" s="2" t="s">
        <v>16</v>
      </c>
      <c r="F494" s="2" t="s">
        <v>2959</v>
      </c>
      <c r="G494" s="2" t="s">
        <v>2960</v>
      </c>
      <c r="H494" s="2" t="s">
        <v>675</v>
      </c>
      <c r="I494" s="2" t="s">
        <v>508</v>
      </c>
      <c r="J494" s="2" t="s">
        <v>86</v>
      </c>
      <c r="K494" s="2" t="s">
        <v>22</v>
      </c>
      <c r="L494" s="2" t="s">
        <v>2961</v>
      </c>
      <c r="M494" s="2"/>
    </row>
    <row r="495" customFormat="false" ht="23.85" hidden="false" customHeight="false" outlineLevel="0" collapsed="false">
      <c r="A495" s="2" t="s">
        <v>2962</v>
      </c>
      <c r="B495" s="3" t="s">
        <v>2963</v>
      </c>
      <c r="C495" s="2"/>
      <c r="D495" s="2" t="s">
        <v>82</v>
      </c>
      <c r="E495" s="2" t="s">
        <v>312</v>
      </c>
      <c r="F495" s="2" t="s">
        <v>2964</v>
      </c>
      <c r="G495" s="2" t="s">
        <v>2965</v>
      </c>
      <c r="H495" s="2" t="s">
        <v>47</v>
      </c>
      <c r="I495" s="2" t="s">
        <v>63</v>
      </c>
      <c r="J495" s="2" t="s">
        <v>21</v>
      </c>
      <c r="K495" s="2" t="s">
        <v>22</v>
      </c>
      <c r="L495" s="2" t="s">
        <v>2966</v>
      </c>
      <c r="M495" s="2"/>
    </row>
    <row r="496" customFormat="false" ht="23.85" hidden="false" customHeight="false" outlineLevel="0" collapsed="false">
      <c r="A496" s="2" t="s">
        <v>2967</v>
      </c>
      <c r="B496" s="3" t="s">
        <v>2968</v>
      </c>
      <c r="C496" s="2" t="s">
        <v>2969</v>
      </c>
      <c r="D496" s="2" t="s">
        <v>179</v>
      </c>
      <c r="E496" s="2" t="s">
        <v>53</v>
      </c>
      <c r="F496" s="2" t="s">
        <v>2970</v>
      </c>
      <c r="G496" s="2" t="s">
        <v>2971</v>
      </c>
      <c r="H496" s="2" t="s">
        <v>47</v>
      </c>
      <c r="I496" s="2" t="s">
        <v>182</v>
      </c>
      <c r="J496" s="2" t="s">
        <v>86</v>
      </c>
      <c r="K496" s="2" t="s">
        <v>87</v>
      </c>
      <c r="L496" s="2" t="s">
        <v>2972</v>
      </c>
      <c r="M496" s="2"/>
    </row>
    <row r="497" customFormat="false" ht="23.85" hidden="false" customHeight="false" outlineLevel="0" collapsed="false">
      <c r="A497" s="2" t="s">
        <v>2973</v>
      </c>
      <c r="B497" s="3" t="s">
        <v>2974</v>
      </c>
      <c r="C497" s="2"/>
      <c r="D497" s="2" t="s">
        <v>82</v>
      </c>
      <c r="E497" s="2" t="s">
        <v>53</v>
      </c>
      <c r="F497" s="2" t="s">
        <v>2975</v>
      </c>
      <c r="G497" s="2" t="s">
        <v>2976</v>
      </c>
      <c r="H497" s="2" t="s">
        <v>47</v>
      </c>
      <c r="I497" s="2" t="s">
        <v>20</v>
      </c>
      <c r="J497" s="2" t="s">
        <v>71</v>
      </c>
      <c r="K497" s="2" t="s">
        <v>72</v>
      </c>
      <c r="L497" s="2" t="s">
        <v>2977</v>
      </c>
      <c r="M497" s="2"/>
    </row>
    <row r="498" customFormat="false" ht="23.85" hidden="false" customHeight="false" outlineLevel="0" collapsed="false">
      <c r="A498" s="2" t="s">
        <v>2978</v>
      </c>
      <c r="B498" s="3" t="s">
        <v>2979</v>
      </c>
      <c r="C498" s="2"/>
      <c r="D498" s="2" t="s">
        <v>43</v>
      </c>
      <c r="E498" s="2" t="s">
        <v>53</v>
      </c>
      <c r="F498" s="2" t="s">
        <v>2980</v>
      </c>
      <c r="G498" s="2" t="s">
        <v>2981</v>
      </c>
      <c r="H498" s="2"/>
      <c r="I498" s="2" t="s">
        <v>111</v>
      </c>
      <c r="J498" s="2" t="s">
        <v>86</v>
      </c>
      <c r="K498" s="2" t="s">
        <v>72</v>
      </c>
      <c r="L498" s="2" t="s">
        <v>2982</v>
      </c>
      <c r="M498" s="2"/>
    </row>
    <row r="499" customFormat="false" ht="15" hidden="false" customHeight="false" outlineLevel="0" collapsed="false">
      <c r="A499" s="2" t="s">
        <v>2983</v>
      </c>
      <c r="B499" s="3" t="s">
        <v>2984</v>
      </c>
      <c r="C499" s="2" t="s">
        <v>2985</v>
      </c>
      <c r="D499" s="2" t="s">
        <v>82</v>
      </c>
      <c r="E499" s="2" t="s">
        <v>208</v>
      </c>
      <c r="F499" s="2" t="s">
        <v>2986</v>
      </c>
      <c r="G499" s="2" t="s">
        <v>2987</v>
      </c>
      <c r="H499" s="2" t="s">
        <v>47</v>
      </c>
      <c r="I499" s="2" t="s">
        <v>85</v>
      </c>
      <c r="J499" s="2" t="s">
        <v>71</v>
      </c>
      <c r="K499" s="2" t="s">
        <v>72</v>
      </c>
      <c r="L499" s="2" t="s">
        <v>2045</v>
      </c>
      <c r="M499" s="2"/>
    </row>
    <row r="500" customFormat="false" ht="23.85" hidden="false" customHeight="false" outlineLevel="0" collapsed="false">
      <c r="A500" s="2" t="s">
        <v>2988</v>
      </c>
      <c r="B500" s="3" t="s">
        <v>2989</v>
      </c>
      <c r="C500" s="2" t="s">
        <v>2990</v>
      </c>
      <c r="D500" s="2" t="s">
        <v>59</v>
      </c>
      <c r="E500" s="2" t="s">
        <v>35</v>
      </c>
      <c r="F500" s="2" t="s">
        <v>2991</v>
      </c>
      <c r="G500" s="2" t="s">
        <v>2992</v>
      </c>
      <c r="H500" s="2" t="s">
        <v>543</v>
      </c>
      <c r="I500" s="2" t="s">
        <v>29</v>
      </c>
      <c r="J500" s="2" t="s">
        <v>21</v>
      </c>
      <c r="K500" s="2" t="s">
        <v>22</v>
      </c>
      <c r="L500" s="2" t="s">
        <v>2993</v>
      </c>
      <c r="M500" s="2"/>
    </row>
    <row r="501" customFormat="false" ht="15" hidden="false" customHeight="false" outlineLevel="0" collapsed="false">
      <c r="A501" s="2" t="s">
        <v>2315</v>
      </c>
      <c r="B501" s="3" t="s">
        <v>2994</v>
      </c>
      <c r="C501" s="2"/>
      <c r="D501" s="2" t="s">
        <v>106</v>
      </c>
      <c r="E501" s="2" t="s">
        <v>53</v>
      </c>
      <c r="F501" s="2" t="s">
        <v>2995</v>
      </c>
      <c r="G501" s="2" t="s">
        <v>2996</v>
      </c>
      <c r="H501" s="2" t="s">
        <v>110</v>
      </c>
      <c r="I501" s="2" t="s">
        <v>256</v>
      </c>
      <c r="J501" s="2" t="s">
        <v>71</v>
      </c>
      <c r="K501" s="2" t="s">
        <v>72</v>
      </c>
      <c r="L501" s="2" t="s">
        <v>2997</v>
      </c>
      <c r="M501" s="2"/>
    </row>
    <row r="502" customFormat="false" ht="15" hidden="false" customHeight="false" outlineLevel="0" collapsed="false">
      <c r="A502" s="2" t="s">
        <v>2998</v>
      </c>
      <c r="B502" s="3" t="s">
        <v>2999</v>
      </c>
      <c r="C502" s="2"/>
      <c r="D502" s="2" t="s">
        <v>15</v>
      </c>
      <c r="E502" s="2" t="s">
        <v>16</v>
      </c>
      <c r="F502" s="2" t="s">
        <v>3000</v>
      </c>
      <c r="G502" s="2" t="s">
        <v>3001</v>
      </c>
      <c r="H502" s="2" t="s">
        <v>47</v>
      </c>
      <c r="I502" s="2" t="s">
        <v>85</v>
      </c>
      <c r="J502" s="2" t="s">
        <v>71</v>
      </c>
      <c r="K502" s="2" t="s">
        <v>22</v>
      </c>
      <c r="L502" s="2" t="s">
        <v>619</v>
      </c>
      <c r="M502" s="2"/>
    </row>
    <row r="503" customFormat="false" ht="23.85" hidden="false" customHeight="false" outlineLevel="0" collapsed="false">
      <c r="A503" s="2" t="s">
        <v>49</v>
      </c>
      <c r="B503" s="3" t="s">
        <v>3002</v>
      </c>
      <c r="C503" s="2" t="s">
        <v>3003</v>
      </c>
      <c r="D503" s="2" t="s">
        <v>43</v>
      </c>
      <c r="E503" s="2" t="s">
        <v>107</v>
      </c>
      <c r="F503" s="2" t="s">
        <v>3004</v>
      </c>
      <c r="G503" s="2" t="s">
        <v>3005</v>
      </c>
      <c r="H503" s="2" t="s">
        <v>3006</v>
      </c>
      <c r="I503" s="2" t="s">
        <v>78</v>
      </c>
      <c r="J503" s="2" t="s">
        <v>71</v>
      </c>
      <c r="K503" s="2" t="s">
        <v>72</v>
      </c>
      <c r="L503" s="2" t="s">
        <v>3007</v>
      </c>
      <c r="M503" s="2"/>
    </row>
    <row r="504" customFormat="false" ht="23.85" hidden="false" customHeight="false" outlineLevel="0" collapsed="false">
      <c r="A504" s="2" t="s">
        <v>3008</v>
      </c>
      <c r="B504" s="3" t="s">
        <v>3009</v>
      </c>
      <c r="C504" s="2" t="s">
        <v>3010</v>
      </c>
      <c r="D504" s="2" t="s">
        <v>223</v>
      </c>
      <c r="E504" s="2" t="s">
        <v>53</v>
      </c>
      <c r="F504" s="2" t="s">
        <v>3011</v>
      </c>
      <c r="G504" s="2" t="s">
        <v>3012</v>
      </c>
      <c r="H504" s="2" t="s">
        <v>28</v>
      </c>
      <c r="I504" s="2" t="s">
        <v>78</v>
      </c>
      <c r="J504" s="2" t="s">
        <v>86</v>
      </c>
      <c r="K504" s="2" t="s">
        <v>87</v>
      </c>
      <c r="L504" s="2" t="s">
        <v>3013</v>
      </c>
      <c r="M504" s="2"/>
    </row>
    <row r="505" customFormat="false" ht="15" hidden="false" customHeight="false" outlineLevel="0" collapsed="false">
      <c r="A505" s="2" t="s">
        <v>289</v>
      </c>
      <c r="B505" s="3" t="s">
        <v>3014</v>
      </c>
      <c r="C505" s="2"/>
      <c r="D505" s="2" t="s">
        <v>34</v>
      </c>
      <c r="E505" s="2" t="s">
        <v>116</v>
      </c>
      <c r="F505" s="2" t="s">
        <v>3015</v>
      </c>
      <c r="G505" s="2" t="s">
        <v>3016</v>
      </c>
      <c r="H505" s="2" t="s">
        <v>3017</v>
      </c>
      <c r="I505" s="2" t="s">
        <v>29</v>
      </c>
      <c r="J505" s="2" t="s">
        <v>86</v>
      </c>
      <c r="K505" s="2" t="s">
        <v>72</v>
      </c>
      <c r="L505" s="2" t="s">
        <v>3018</v>
      </c>
      <c r="M505" s="2"/>
    </row>
    <row r="506" customFormat="false" ht="15" hidden="false" customHeight="false" outlineLevel="0" collapsed="false">
      <c r="A506" s="2" t="s">
        <v>3019</v>
      </c>
      <c r="B506" s="3" t="s">
        <v>3020</v>
      </c>
      <c r="C506" s="2"/>
      <c r="D506" s="2" t="s">
        <v>15</v>
      </c>
      <c r="E506" s="2" t="s">
        <v>574</v>
      </c>
      <c r="F506" s="2" t="s">
        <v>3021</v>
      </c>
      <c r="G506" s="2" t="s">
        <v>3022</v>
      </c>
      <c r="H506" s="2" t="s">
        <v>47</v>
      </c>
      <c r="I506" s="2" t="s">
        <v>63</v>
      </c>
      <c r="J506" s="2" t="s">
        <v>21</v>
      </c>
      <c r="K506" s="2" t="s">
        <v>22</v>
      </c>
      <c r="L506" s="2" t="s">
        <v>1349</v>
      </c>
      <c r="M506" s="2"/>
    </row>
    <row r="507" customFormat="false" ht="15" hidden="false" customHeight="false" outlineLevel="0" collapsed="false">
      <c r="A507" s="2" t="s">
        <v>3023</v>
      </c>
      <c r="B507" s="3" t="s">
        <v>3024</v>
      </c>
      <c r="C507" s="2" t="s">
        <v>3025</v>
      </c>
      <c r="D507" s="2" t="s">
        <v>15</v>
      </c>
      <c r="E507" s="2" t="s">
        <v>16</v>
      </c>
      <c r="F507" s="2" t="s">
        <v>3026</v>
      </c>
      <c r="G507" s="2" t="s">
        <v>3027</v>
      </c>
      <c r="H507" s="2" t="s">
        <v>47</v>
      </c>
      <c r="I507" s="2" t="s">
        <v>85</v>
      </c>
      <c r="J507" s="2" t="s">
        <v>71</v>
      </c>
      <c r="K507" s="2" t="s">
        <v>22</v>
      </c>
      <c r="L507" s="2" t="s">
        <v>3028</v>
      </c>
      <c r="M507" s="2"/>
    </row>
    <row r="508" customFormat="false" ht="15" hidden="false" customHeight="false" outlineLevel="0" collapsed="false">
      <c r="A508" s="2" t="s">
        <v>3029</v>
      </c>
      <c r="B508" s="3" t="s">
        <v>3030</v>
      </c>
      <c r="C508" s="2" t="s">
        <v>3031</v>
      </c>
      <c r="D508" s="2" t="s">
        <v>52</v>
      </c>
      <c r="E508" s="2" t="s">
        <v>1346</v>
      </c>
      <c r="F508" s="2" t="s">
        <v>3032</v>
      </c>
      <c r="G508" s="2" t="s">
        <v>3033</v>
      </c>
      <c r="H508" s="2"/>
      <c r="I508" s="2" t="s">
        <v>63</v>
      </c>
      <c r="J508" s="2" t="s">
        <v>21</v>
      </c>
      <c r="K508" s="2" t="s">
        <v>22</v>
      </c>
      <c r="L508" s="2" t="s">
        <v>3034</v>
      </c>
      <c r="M508" s="2"/>
    </row>
    <row r="509" customFormat="false" ht="23.85" hidden="false" customHeight="false" outlineLevel="0" collapsed="false">
      <c r="A509" s="2" t="s">
        <v>780</v>
      </c>
      <c r="B509" s="3" t="s">
        <v>3035</v>
      </c>
      <c r="C509" s="2" t="s">
        <v>3036</v>
      </c>
      <c r="D509" s="2" t="s">
        <v>15</v>
      </c>
      <c r="E509" s="2" t="s">
        <v>777</v>
      </c>
      <c r="F509" s="2" t="s">
        <v>3037</v>
      </c>
      <c r="G509" s="2" t="s">
        <v>3038</v>
      </c>
      <c r="H509" s="2" t="s">
        <v>47</v>
      </c>
      <c r="I509" s="2" t="s">
        <v>48</v>
      </c>
      <c r="J509" s="2" t="s">
        <v>71</v>
      </c>
      <c r="K509" s="2" t="s">
        <v>72</v>
      </c>
      <c r="L509" s="2" t="s">
        <v>3039</v>
      </c>
      <c r="M509" s="2" t="s">
        <v>3040</v>
      </c>
    </row>
    <row r="510" customFormat="false" ht="23.85" hidden="false" customHeight="false" outlineLevel="0" collapsed="false">
      <c r="A510" s="2" t="s">
        <v>3041</v>
      </c>
      <c r="B510" s="3" t="s">
        <v>3042</v>
      </c>
      <c r="C510" s="2" t="s">
        <v>3043</v>
      </c>
      <c r="D510" s="2" t="s">
        <v>15</v>
      </c>
      <c r="E510" s="2" t="s">
        <v>796</v>
      </c>
      <c r="F510" s="2" t="s">
        <v>3044</v>
      </c>
      <c r="G510" s="2" t="s">
        <v>3045</v>
      </c>
      <c r="H510" s="2" t="s">
        <v>47</v>
      </c>
      <c r="I510" s="2" t="s">
        <v>48</v>
      </c>
      <c r="J510" s="2" t="s">
        <v>21</v>
      </c>
      <c r="K510" s="2" t="s">
        <v>22</v>
      </c>
      <c r="L510" s="2" t="s">
        <v>1492</v>
      </c>
      <c r="M510" s="2"/>
    </row>
    <row r="511" customFormat="false" ht="15" hidden="false" customHeight="false" outlineLevel="0" collapsed="false">
      <c r="A511" s="2" t="s">
        <v>3046</v>
      </c>
      <c r="B511" s="3" t="s">
        <v>3047</v>
      </c>
      <c r="C511" s="2" t="s">
        <v>3048</v>
      </c>
      <c r="D511" s="2" t="s">
        <v>238</v>
      </c>
      <c r="E511" s="2" t="s">
        <v>1480</v>
      </c>
      <c r="F511" s="2" t="s">
        <v>3049</v>
      </c>
      <c r="G511" s="2" t="s">
        <v>3050</v>
      </c>
      <c r="H511" s="2" t="s">
        <v>19</v>
      </c>
      <c r="I511" s="2" t="s">
        <v>29</v>
      </c>
      <c r="J511" s="2" t="s">
        <v>71</v>
      </c>
      <c r="K511" s="2" t="s">
        <v>22</v>
      </c>
      <c r="L511" s="2" t="s">
        <v>3051</v>
      </c>
      <c r="M511" s="2"/>
    </row>
    <row r="512" customFormat="false" ht="15" hidden="false" customHeight="false" outlineLevel="0" collapsed="false">
      <c r="A512" s="2" t="s">
        <v>3052</v>
      </c>
      <c r="B512" s="3" t="s">
        <v>3053</v>
      </c>
      <c r="C512" s="2" t="s">
        <v>3054</v>
      </c>
      <c r="D512" s="2" t="s">
        <v>15</v>
      </c>
      <c r="E512" s="2" t="s">
        <v>216</v>
      </c>
      <c r="F512" s="2" t="s">
        <v>3055</v>
      </c>
      <c r="G512" s="2" t="s">
        <v>3056</v>
      </c>
      <c r="H512" s="2" t="s">
        <v>47</v>
      </c>
      <c r="I512" s="2" t="s">
        <v>85</v>
      </c>
      <c r="J512" s="2" t="s">
        <v>86</v>
      </c>
      <c r="K512" s="2" t="s">
        <v>72</v>
      </c>
      <c r="L512" s="2" t="s">
        <v>3057</v>
      </c>
      <c r="M512" s="2"/>
    </row>
    <row r="513" customFormat="false" ht="23.85" hidden="false" customHeight="false" outlineLevel="0" collapsed="false">
      <c r="A513" s="2" t="s">
        <v>3058</v>
      </c>
      <c r="B513" s="3" t="s">
        <v>3059</v>
      </c>
      <c r="C513" s="2"/>
      <c r="D513" s="2" t="s">
        <v>223</v>
      </c>
      <c r="E513" s="2" t="s">
        <v>53</v>
      </c>
      <c r="F513" s="2" t="s">
        <v>3060</v>
      </c>
      <c r="G513" s="2" t="s">
        <v>3061</v>
      </c>
      <c r="H513" s="2" t="s">
        <v>3062</v>
      </c>
      <c r="I513" s="2" t="s">
        <v>508</v>
      </c>
      <c r="J513" s="2" t="s">
        <v>86</v>
      </c>
      <c r="K513" s="2" t="s">
        <v>87</v>
      </c>
      <c r="L513" s="2" t="s">
        <v>3063</v>
      </c>
      <c r="M513" s="2"/>
    </row>
    <row r="514" customFormat="false" ht="15" hidden="false" customHeight="false" outlineLevel="0" collapsed="false">
      <c r="A514" s="2" t="s">
        <v>3064</v>
      </c>
      <c r="B514" s="3" t="s">
        <v>3065</v>
      </c>
      <c r="C514" s="2"/>
      <c r="D514" s="2" t="s">
        <v>106</v>
      </c>
      <c r="E514" s="2" t="s">
        <v>116</v>
      </c>
      <c r="F514" s="2" t="s">
        <v>3066</v>
      </c>
      <c r="G514" s="2" t="s">
        <v>3067</v>
      </c>
      <c r="H514" s="2" t="s">
        <v>110</v>
      </c>
      <c r="I514" s="2" t="s">
        <v>111</v>
      </c>
      <c r="J514" s="2" t="s">
        <v>21</v>
      </c>
      <c r="K514" s="2" t="s">
        <v>22</v>
      </c>
      <c r="L514" s="2" t="s">
        <v>3068</v>
      </c>
      <c r="M514" s="2"/>
    </row>
    <row r="515" customFormat="false" ht="23.85" hidden="false" customHeight="false" outlineLevel="0" collapsed="false">
      <c r="A515" s="2" t="s">
        <v>3069</v>
      </c>
      <c r="B515" s="3" t="s">
        <v>3070</v>
      </c>
      <c r="C515" s="2"/>
      <c r="D515" s="2" t="s">
        <v>106</v>
      </c>
      <c r="E515" s="2" t="s">
        <v>53</v>
      </c>
      <c r="F515" s="2" t="s">
        <v>3071</v>
      </c>
      <c r="G515" s="2" t="s">
        <v>3072</v>
      </c>
      <c r="H515" s="2"/>
      <c r="I515" s="2" t="s">
        <v>78</v>
      </c>
      <c r="J515" s="2" t="s">
        <v>71</v>
      </c>
      <c r="K515" s="2" t="s">
        <v>22</v>
      </c>
      <c r="L515" s="2" t="s">
        <v>3073</v>
      </c>
      <c r="M515" s="2"/>
    </row>
    <row r="516" customFormat="false" ht="23.85" hidden="false" customHeight="false" outlineLevel="0" collapsed="false">
      <c r="A516" s="2" t="s">
        <v>3074</v>
      </c>
      <c r="B516" s="3" t="s">
        <v>3075</v>
      </c>
      <c r="C516" s="2"/>
      <c r="D516" s="2" t="s">
        <v>251</v>
      </c>
      <c r="E516" s="2" t="s">
        <v>518</v>
      </c>
      <c r="F516" s="2" t="s">
        <v>3076</v>
      </c>
      <c r="G516" s="2" t="s">
        <v>3077</v>
      </c>
      <c r="H516" s="2" t="s">
        <v>3078</v>
      </c>
      <c r="I516" s="2" t="s">
        <v>48</v>
      </c>
      <c r="J516" s="2" t="s">
        <v>21</v>
      </c>
      <c r="K516" s="2" t="s">
        <v>72</v>
      </c>
      <c r="L516" s="2" t="s">
        <v>3079</v>
      </c>
      <c r="M516" s="2"/>
    </row>
    <row r="517" customFormat="false" ht="23.85" hidden="false" customHeight="false" outlineLevel="0" collapsed="false">
      <c r="A517" s="2" t="s">
        <v>3080</v>
      </c>
      <c r="B517" s="3" t="s">
        <v>3081</v>
      </c>
      <c r="C517" s="2" t="s">
        <v>3082</v>
      </c>
      <c r="D517" s="2" t="s">
        <v>231</v>
      </c>
      <c r="E517" s="2" t="s">
        <v>53</v>
      </c>
      <c r="F517" s="2" t="s">
        <v>3083</v>
      </c>
      <c r="G517" s="2" t="s">
        <v>3084</v>
      </c>
      <c r="H517" s="2"/>
      <c r="I517" s="2" t="s">
        <v>111</v>
      </c>
      <c r="J517" s="2" t="s">
        <v>71</v>
      </c>
      <c r="K517" s="2" t="s">
        <v>22</v>
      </c>
      <c r="L517" s="2" t="s">
        <v>336</v>
      </c>
      <c r="M517" s="2" t="s">
        <v>3085</v>
      </c>
    </row>
    <row r="518" customFormat="false" ht="15" hidden="false" customHeight="false" outlineLevel="0" collapsed="false">
      <c r="A518" s="2" t="s">
        <v>3086</v>
      </c>
      <c r="B518" s="3" t="s">
        <v>3087</v>
      </c>
      <c r="C518" s="2"/>
      <c r="D518" s="2" t="s">
        <v>43</v>
      </c>
      <c r="E518" s="2" t="s">
        <v>53</v>
      </c>
      <c r="F518" s="2" t="s">
        <v>3088</v>
      </c>
      <c r="G518" s="2" t="s">
        <v>3089</v>
      </c>
      <c r="H518" s="2"/>
      <c r="I518" s="2" t="s">
        <v>111</v>
      </c>
      <c r="J518" s="2" t="s">
        <v>86</v>
      </c>
      <c r="K518" s="2" t="s">
        <v>22</v>
      </c>
      <c r="L518" s="2" t="s">
        <v>1406</v>
      </c>
      <c r="M518" s="2"/>
    </row>
    <row r="519" customFormat="false" ht="23.85" hidden="false" customHeight="false" outlineLevel="0" collapsed="false">
      <c r="A519" s="2" t="s">
        <v>3090</v>
      </c>
      <c r="B519" s="3" t="s">
        <v>3091</v>
      </c>
      <c r="C519" s="2" t="s">
        <v>3092</v>
      </c>
      <c r="D519" s="2" t="s">
        <v>82</v>
      </c>
      <c r="E519" s="2" t="s">
        <v>35</v>
      </c>
      <c r="F519" s="2" t="s">
        <v>3093</v>
      </c>
      <c r="G519" s="2" t="s">
        <v>3094</v>
      </c>
      <c r="H519" s="2" t="s">
        <v>47</v>
      </c>
      <c r="I519" s="2" t="s">
        <v>85</v>
      </c>
      <c r="J519" s="2" t="s">
        <v>21</v>
      </c>
      <c r="K519" s="2" t="s">
        <v>22</v>
      </c>
      <c r="L519" s="2" t="s">
        <v>1271</v>
      </c>
      <c r="M519" s="2" t="s">
        <v>3095</v>
      </c>
    </row>
    <row r="520" customFormat="false" ht="15" hidden="false" customHeight="false" outlineLevel="0" collapsed="false">
      <c r="A520" s="2" t="s">
        <v>3096</v>
      </c>
      <c r="B520" s="3" t="s">
        <v>3097</v>
      </c>
      <c r="C520" s="2"/>
      <c r="D520" s="2" t="s">
        <v>15</v>
      </c>
      <c r="E520" s="2" t="s">
        <v>16</v>
      </c>
      <c r="F520" s="2" t="s">
        <v>3098</v>
      </c>
      <c r="G520" s="2" t="s">
        <v>3099</v>
      </c>
      <c r="H520" s="2" t="s">
        <v>47</v>
      </c>
      <c r="I520" s="2" t="s">
        <v>85</v>
      </c>
      <c r="J520" s="2" t="s">
        <v>86</v>
      </c>
      <c r="K520" s="2" t="s">
        <v>72</v>
      </c>
      <c r="L520" s="2" t="s">
        <v>3100</v>
      </c>
      <c r="M520" s="2"/>
    </row>
    <row r="521" customFormat="false" ht="23.85" hidden="false" customHeight="false" outlineLevel="0" collapsed="false">
      <c r="A521" s="2" t="s">
        <v>3101</v>
      </c>
      <c r="B521" s="3" t="s">
        <v>3102</v>
      </c>
      <c r="C521" s="2"/>
      <c r="D521" s="2" t="s">
        <v>15</v>
      </c>
      <c r="E521" s="2" t="s">
        <v>99</v>
      </c>
      <c r="F521" s="2" t="s">
        <v>3103</v>
      </c>
      <c r="G521" s="2" t="s">
        <v>3104</v>
      </c>
      <c r="H521" s="2" t="s">
        <v>47</v>
      </c>
      <c r="I521" s="2" t="s">
        <v>48</v>
      </c>
      <c r="J521" s="2" t="s">
        <v>21</v>
      </c>
      <c r="K521" s="2" t="s">
        <v>22</v>
      </c>
      <c r="L521" s="2" t="s">
        <v>3105</v>
      </c>
      <c r="M521" s="2"/>
    </row>
    <row r="522" customFormat="false" ht="23.85" hidden="false" customHeight="false" outlineLevel="0" collapsed="false">
      <c r="A522" s="2" t="s">
        <v>3106</v>
      </c>
      <c r="B522" s="3" t="s">
        <v>3107</v>
      </c>
      <c r="C522" s="2" t="s">
        <v>3108</v>
      </c>
      <c r="D522" s="2" t="s">
        <v>179</v>
      </c>
      <c r="E522" s="2" t="s">
        <v>1535</v>
      </c>
      <c r="F522" s="2" t="s">
        <v>3109</v>
      </c>
      <c r="G522" s="2" t="s">
        <v>3110</v>
      </c>
      <c r="H522" s="2" t="s">
        <v>47</v>
      </c>
      <c r="I522" s="2" t="s">
        <v>182</v>
      </c>
      <c r="J522" s="2" t="s">
        <v>86</v>
      </c>
      <c r="K522" s="2" t="s">
        <v>87</v>
      </c>
      <c r="L522" s="2" t="s">
        <v>3111</v>
      </c>
      <c r="M522" s="2"/>
    </row>
    <row r="523" customFormat="false" ht="23.85" hidden="false" customHeight="false" outlineLevel="0" collapsed="false">
      <c r="A523" s="2" t="s">
        <v>3112</v>
      </c>
      <c r="B523" s="3" t="s">
        <v>3113</v>
      </c>
      <c r="C523" s="2"/>
      <c r="D523" s="2" t="s">
        <v>82</v>
      </c>
      <c r="E523" s="2" t="s">
        <v>266</v>
      </c>
      <c r="F523" s="2" t="s">
        <v>3114</v>
      </c>
      <c r="G523" s="2" t="s">
        <v>3115</v>
      </c>
      <c r="H523" s="2" t="s">
        <v>47</v>
      </c>
      <c r="I523" s="2" t="s">
        <v>63</v>
      </c>
      <c r="J523" s="2" t="s">
        <v>21</v>
      </c>
      <c r="K523" s="2" t="s">
        <v>22</v>
      </c>
      <c r="L523" s="2" t="s">
        <v>2364</v>
      </c>
      <c r="M523" s="2"/>
    </row>
    <row r="524" customFormat="false" ht="15" hidden="false" customHeight="false" outlineLevel="0" collapsed="false">
      <c r="A524" s="2" t="s">
        <v>3116</v>
      </c>
      <c r="B524" s="3" t="s">
        <v>3117</v>
      </c>
      <c r="C524" s="2" t="s">
        <v>3118</v>
      </c>
      <c r="D524" s="2" t="s">
        <v>15</v>
      </c>
      <c r="E524" s="2" t="s">
        <v>591</v>
      </c>
      <c r="F524" s="2" t="s">
        <v>3119</v>
      </c>
      <c r="G524" s="2" t="s">
        <v>3120</v>
      </c>
      <c r="H524" s="2" t="s">
        <v>47</v>
      </c>
      <c r="I524" s="2" t="s">
        <v>63</v>
      </c>
      <c r="J524" s="2" t="s">
        <v>71</v>
      </c>
      <c r="K524" s="2" t="s">
        <v>22</v>
      </c>
      <c r="L524" s="2" t="s">
        <v>594</v>
      </c>
      <c r="M524" s="2"/>
    </row>
    <row r="525" customFormat="false" ht="15" hidden="false" customHeight="false" outlineLevel="0" collapsed="false">
      <c r="A525" s="2" t="s">
        <v>3121</v>
      </c>
      <c r="B525" s="3" t="s">
        <v>3122</v>
      </c>
      <c r="C525" s="2" t="s">
        <v>3123</v>
      </c>
      <c r="D525" s="2" t="s">
        <v>82</v>
      </c>
      <c r="E525" s="2" t="s">
        <v>35</v>
      </c>
      <c r="F525" s="2" t="s">
        <v>3124</v>
      </c>
      <c r="G525" s="2" t="s">
        <v>3125</v>
      </c>
      <c r="H525" s="2" t="s">
        <v>675</v>
      </c>
      <c r="I525" s="2" t="s">
        <v>138</v>
      </c>
      <c r="J525" s="2" t="s">
        <v>86</v>
      </c>
      <c r="K525" s="2" t="s">
        <v>72</v>
      </c>
      <c r="L525" s="2" t="s">
        <v>3126</v>
      </c>
      <c r="M525" s="2"/>
    </row>
    <row r="526" customFormat="false" ht="23.85" hidden="false" customHeight="false" outlineLevel="0" collapsed="false">
      <c r="A526" s="2" t="s">
        <v>3127</v>
      </c>
      <c r="B526" s="3" t="s">
        <v>3128</v>
      </c>
      <c r="C526" s="2"/>
      <c r="D526" s="2" t="s">
        <v>15</v>
      </c>
      <c r="E526" s="2" t="s">
        <v>16</v>
      </c>
      <c r="F526" s="2" t="s">
        <v>3129</v>
      </c>
      <c r="G526" s="2" t="s">
        <v>3130</v>
      </c>
      <c r="H526" s="2" t="s">
        <v>47</v>
      </c>
      <c r="I526" s="2" t="s">
        <v>182</v>
      </c>
      <c r="J526" s="2" t="s">
        <v>86</v>
      </c>
      <c r="K526" s="2" t="s">
        <v>87</v>
      </c>
      <c r="L526" s="2" t="s">
        <v>3131</v>
      </c>
      <c r="M526" s="2"/>
    </row>
    <row r="527" customFormat="false" ht="15" hidden="false" customHeight="false" outlineLevel="0" collapsed="false">
      <c r="A527" s="2" t="s">
        <v>3132</v>
      </c>
      <c r="B527" s="3" t="s">
        <v>3133</v>
      </c>
      <c r="C527" s="2" t="s">
        <v>3134</v>
      </c>
      <c r="D527" s="2" t="s">
        <v>15</v>
      </c>
      <c r="E527" s="2" t="s">
        <v>16</v>
      </c>
      <c r="F527" s="2" t="s">
        <v>3135</v>
      </c>
      <c r="G527" s="2" t="s">
        <v>3136</v>
      </c>
      <c r="H527" s="2" t="s">
        <v>47</v>
      </c>
      <c r="I527" s="2" t="s">
        <v>799</v>
      </c>
      <c r="J527" s="2" t="s">
        <v>71</v>
      </c>
      <c r="K527" s="2" t="s">
        <v>22</v>
      </c>
      <c r="L527" s="2" t="s">
        <v>3137</v>
      </c>
      <c r="M527" s="2"/>
    </row>
    <row r="528" customFormat="false" ht="23.85" hidden="false" customHeight="false" outlineLevel="0" collapsed="false">
      <c r="A528" s="2" t="s">
        <v>3138</v>
      </c>
      <c r="B528" s="3" t="s">
        <v>3139</v>
      </c>
      <c r="C528" s="2"/>
      <c r="D528" s="2" t="s">
        <v>15</v>
      </c>
      <c r="E528" s="2" t="s">
        <v>16</v>
      </c>
      <c r="F528" s="2" t="s">
        <v>3140</v>
      </c>
      <c r="G528" s="2" t="s">
        <v>3141</v>
      </c>
      <c r="H528" s="2"/>
      <c r="I528" s="2" t="s">
        <v>20</v>
      </c>
      <c r="J528" s="2" t="s">
        <v>21</v>
      </c>
      <c r="K528" s="2" t="s">
        <v>72</v>
      </c>
      <c r="L528" s="2" t="s">
        <v>3142</v>
      </c>
      <c r="M528" s="2" t="s">
        <v>3143</v>
      </c>
    </row>
    <row r="529" customFormat="false" ht="23.85" hidden="false" customHeight="false" outlineLevel="0" collapsed="false">
      <c r="A529" s="2" t="s">
        <v>3144</v>
      </c>
      <c r="B529" s="3" t="s">
        <v>3145</v>
      </c>
      <c r="C529" s="2" t="s">
        <v>3146</v>
      </c>
      <c r="D529" s="2" t="s">
        <v>179</v>
      </c>
      <c r="E529" s="2" t="s">
        <v>53</v>
      </c>
      <c r="F529" s="2" t="s">
        <v>3147</v>
      </c>
      <c r="G529" s="2" t="s">
        <v>3148</v>
      </c>
      <c r="H529" s="2" t="s">
        <v>329</v>
      </c>
      <c r="I529" s="2" t="s">
        <v>182</v>
      </c>
      <c r="J529" s="2" t="s">
        <v>86</v>
      </c>
      <c r="K529" s="2" t="s">
        <v>87</v>
      </c>
      <c r="L529" s="2" t="s">
        <v>3149</v>
      </c>
      <c r="M529" s="2"/>
    </row>
    <row r="530" customFormat="false" ht="23.85" hidden="false" customHeight="false" outlineLevel="0" collapsed="false">
      <c r="A530" s="2" t="s">
        <v>3150</v>
      </c>
      <c r="B530" s="3" t="s">
        <v>3151</v>
      </c>
      <c r="C530" s="2" t="s">
        <v>3152</v>
      </c>
      <c r="D530" s="2" t="s">
        <v>251</v>
      </c>
      <c r="E530" s="2" t="s">
        <v>3153</v>
      </c>
      <c r="F530" s="2" t="s">
        <v>3154</v>
      </c>
      <c r="G530" s="2" t="s">
        <v>3155</v>
      </c>
      <c r="H530" s="2" t="s">
        <v>255</v>
      </c>
      <c r="I530" s="2" t="s">
        <v>63</v>
      </c>
      <c r="J530" s="2" t="s">
        <v>21</v>
      </c>
      <c r="K530" s="2" t="s">
        <v>22</v>
      </c>
      <c r="L530" s="2" t="s">
        <v>3156</v>
      </c>
      <c r="M530" s="2"/>
    </row>
    <row r="531" customFormat="false" ht="23.85" hidden="false" customHeight="false" outlineLevel="0" collapsed="false">
      <c r="A531" s="2" t="s">
        <v>3157</v>
      </c>
      <c r="B531" s="3" t="s">
        <v>3158</v>
      </c>
      <c r="C531" s="2" t="s">
        <v>3159</v>
      </c>
      <c r="D531" s="2" t="s">
        <v>43</v>
      </c>
      <c r="E531" s="2" t="s">
        <v>53</v>
      </c>
      <c r="F531" s="2" t="s">
        <v>3160</v>
      </c>
      <c r="G531" s="2" t="s">
        <v>3161</v>
      </c>
      <c r="H531" s="2" t="s">
        <v>3162</v>
      </c>
      <c r="I531" s="2" t="s">
        <v>78</v>
      </c>
      <c r="J531" s="2" t="s">
        <v>86</v>
      </c>
      <c r="K531" s="2" t="s">
        <v>87</v>
      </c>
      <c r="L531" s="2" t="s">
        <v>3163</v>
      </c>
      <c r="M531" s="2" t="s">
        <v>3164</v>
      </c>
    </row>
    <row r="532" customFormat="false" ht="23.85" hidden="false" customHeight="false" outlineLevel="0" collapsed="false">
      <c r="A532" s="2" t="s">
        <v>3165</v>
      </c>
      <c r="B532" s="3" t="s">
        <v>3166</v>
      </c>
      <c r="C532" s="2" t="s">
        <v>3167</v>
      </c>
      <c r="D532" s="2" t="s">
        <v>238</v>
      </c>
      <c r="E532" s="2" t="s">
        <v>53</v>
      </c>
      <c r="F532" s="2" t="s">
        <v>3168</v>
      </c>
      <c r="G532" s="2" t="s">
        <v>3169</v>
      </c>
      <c r="H532" s="2" t="s">
        <v>241</v>
      </c>
      <c r="I532" s="2" t="s">
        <v>29</v>
      </c>
      <c r="J532" s="2" t="s">
        <v>71</v>
      </c>
      <c r="K532" s="2" t="s">
        <v>22</v>
      </c>
      <c r="L532" s="2" t="s">
        <v>3170</v>
      </c>
      <c r="M532" s="2"/>
    </row>
    <row r="533" customFormat="false" ht="23.85" hidden="false" customHeight="false" outlineLevel="0" collapsed="false">
      <c r="A533" s="2" t="s">
        <v>1731</v>
      </c>
      <c r="B533" s="3" t="s">
        <v>3171</v>
      </c>
      <c r="C533" s="2"/>
      <c r="D533" s="2" t="s">
        <v>15</v>
      </c>
      <c r="E533" s="2" t="s">
        <v>535</v>
      </c>
      <c r="F533" s="2" t="s">
        <v>3172</v>
      </c>
      <c r="G533" s="2" t="s">
        <v>3173</v>
      </c>
      <c r="H533" s="2" t="s">
        <v>47</v>
      </c>
      <c r="I533" s="2" t="s">
        <v>48</v>
      </c>
      <c r="J533" s="2" t="s">
        <v>71</v>
      </c>
      <c r="K533" s="2" t="s">
        <v>72</v>
      </c>
      <c r="L533" s="2" t="s">
        <v>1727</v>
      </c>
      <c r="M533" s="2"/>
    </row>
    <row r="534" customFormat="false" ht="23.85" hidden="false" customHeight="false" outlineLevel="0" collapsed="false">
      <c r="A534" s="2" t="s">
        <v>3174</v>
      </c>
      <c r="B534" s="3" t="s">
        <v>3175</v>
      </c>
      <c r="C534" s="2"/>
      <c r="D534" s="2" t="s">
        <v>59</v>
      </c>
      <c r="E534" s="2" t="s">
        <v>1381</v>
      </c>
      <c r="F534" s="2" t="s">
        <v>3176</v>
      </c>
      <c r="G534" s="2" t="s">
        <v>3177</v>
      </c>
      <c r="H534" s="2" t="s">
        <v>543</v>
      </c>
      <c r="I534" s="2" t="s">
        <v>78</v>
      </c>
      <c r="J534" s="2" t="s">
        <v>86</v>
      </c>
      <c r="K534" s="2" t="s">
        <v>72</v>
      </c>
      <c r="L534" s="2" t="s">
        <v>3178</v>
      </c>
      <c r="M534" s="2"/>
    </row>
    <row r="535" customFormat="false" ht="15" hidden="false" customHeight="false" outlineLevel="0" collapsed="false">
      <c r="A535" s="2" t="s">
        <v>3179</v>
      </c>
      <c r="B535" s="3" t="s">
        <v>3180</v>
      </c>
      <c r="C535" s="2" t="s">
        <v>3181</v>
      </c>
      <c r="D535" s="2" t="s">
        <v>59</v>
      </c>
      <c r="E535" s="2" t="s">
        <v>53</v>
      </c>
      <c r="F535" s="2" t="s">
        <v>3182</v>
      </c>
      <c r="G535" s="2" t="s">
        <v>3183</v>
      </c>
      <c r="H535" s="2" t="s">
        <v>543</v>
      </c>
      <c r="I535" s="2" t="s">
        <v>151</v>
      </c>
      <c r="J535" s="2" t="s">
        <v>21</v>
      </c>
      <c r="K535" s="2" t="s">
        <v>22</v>
      </c>
      <c r="L535" s="2" t="s">
        <v>3174</v>
      </c>
      <c r="M535" s="2"/>
    </row>
    <row r="536" customFormat="false" ht="23.85" hidden="false" customHeight="false" outlineLevel="0" collapsed="false">
      <c r="A536" s="2" t="s">
        <v>3184</v>
      </c>
      <c r="B536" s="3" t="s">
        <v>3185</v>
      </c>
      <c r="C536" s="2" t="s">
        <v>3186</v>
      </c>
      <c r="D536" s="2" t="s">
        <v>15</v>
      </c>
      <c r="E536" s="2" t="s">
        <v>188</v>
      </c>
      <c r="F536" s="2" t="s">
        <v>3187</v>
      </c>
      <c r="G536" s="2" t="s">
        <v>3188</v>
      </c>
      <c r="H536" s="2" t="s">
        <v>47</v>
      </c>
      <c r="I536" s="2" t="s">
        <v>63</v>
      </c>
      <c r="J536" s="2" t="s">
        <v>71</v>
      </c>
      <c r="K536" s="2" t="s">
        <v>22</v>
      </c>
      <c r="L536" s="2" t="s">
        <v>1506</v>
      </c>
      <c r="M536" s="2"/>
    </row>
    <row r="537" customFormat="false" ht="23.85" hidden="false" customHeight="false" outlineLevel="0" collapsed="false">
      <c r="A537" s="2" t="s">
        <v>3189</v>
      </c>
      <c r="B537" s="3" t="s">
        <v>3190</v>
      </c>
      <c r="C537" s="2" t="s">
        <v>3191</v>
      </c>
      <c r="D537" s="2" t="s">
        <v>231</v>
      </c>
      <c r="E537" s="2" t="s">
        <v>3192</v>
      </c>
      <c r="F537" s="2" t="s">
        <v>3193</v>
      </c>
      <c r="G537" s="2" t="s">
        <v>3194</v>
      </c>
      <c r="H537" s="2"/>
      <c r="I537" s="2" t="s">
        <v>48</v>
      </c>
      <c r="J537" s="2" t="s">
        <v>71</v>
      </c>
      <c r="K537" s="2" t="s">
        <v>72</v>
      </c>
      <c r="L537" s="2" t="s">
        <v>3195</v>
      </c>
      <c r="M537" s="2" t="s">
        <v>3196</v>
      </c>
    </row>
    <row r="538" customFormat="false" ht="23.85" hidden="false" customHeight="false" outlineLevel="0" collapsed="false">
      <c r="A538" s="2" t="s">
        <v>3197</v>
      </c>
      <c r="B538" s="3" t="s">
        <v>3198</v>
      </c>
      <c r="C538" s="2"/>
      <c r="D538" s="2" t="s">
        <v>106</v>
      </c>
      <c r="E538" s="2" t="s">
        <v>1381</v>
      </c>
      <c r="F538" s="2" t="s">
        <v>3199</v>
      </c>
      <c r="G538" s="2" t="s">
        <v>3200</v>
      </c>
      <c r="H538" s="2" t="s">
        <v>110</v>
      </c>
      <c r="I538" s="2" t="s">
        <v>78</v>
      </c>
      <c r="J538" s="2" t="s">
        <v>21</v>
      </c>
      <c r="K538" s="2" t="s">
        <v>22</v>
      </c>
      <c r="L538" s="2" t="s">
        <v>3201</v>
      </c>
      <c r="M538" s="2"/>
    </row>
    <row r="539" customFormat="false" ht="23.85" hidden="false" customHeight="false" outlineLevel="0" collapsed="false">
      <c r="A539" s="2" t="s">
        <v>3202</v>
      </c>
      <c r="B539" s="3" t="s">
        <v>3203</v>
      </c>
      <c r="C539" s="2" t="s">
        <v>3204</v>
      </c>
      <c r="D539" s="2" t="s">
        <v>15</v>
      </c>
      <c r="E539" s="2" t="s">
        <v>99</v>
      </c>
      <c r="F539" s="2" t="s">
        <v>3205</v>
      </c>
      <c r="G539" s="2" t="s">
        <v>3206</v>
      </c>
      <c r="H539" s="2" t="s">
        <v>47</v>
      </c>
      <c r="I539" s="2" t="s">
        <v>20</v>
      </c>
      <c r="J539" s="2" t="s">
        <v>71</v>
      </c>
      <c r="K539" s="2" t="s">
        <v>72</v>
      </c>
      <c r="L539" s="2" t="s">
        <v>3207</v>
      </c>
      <c r="M539" s="2" t="s">
        <v>3208</v>
      </c>
    </row>
    <row r="540" customFormat="false" ht="23.85" hidden="false" customHeight="false" outlineLevel="0" collapsed="false">
      <c r="A540" s="2" t="s">
        <v>3209</v>
      </c>
      <c r="B540" s="3" t="s">
        <v>3210</v>
      </c>
      <c r="C540" s="2"/>
      <c r="D540" s="2" t="s">
        <v>15</v>
      </c>
      <c r="E540" s="2" t="s">
        <v>116</v>
      </c>
      <c r="F540" s="2" t="s">
        <v>3211</v>
      </c>
      <c r="G540" s="2" t="s">
        <v>3212</v>
      </c>
      <c r="H540" s="2" t="s">
        <v>47</v>
      </c>
      <c r="I540" s="2" t="s">
        <v>20</v>
      </c>
      <c r="J540" s="2" t="s">
        <v>71</v>
      </c>
      <c r="K540" s="2" t="s">
        <v>72</v>
      </c>
      <c r="L540" s="2" t="s">
        <v>3213</v>
      </c>
      <c r="M540" s="2"/>
    </row>
    <row r="541" customFormat="false" ht="23.85" hidden="false" customHeight="false" outlineLevel="0" collapsed="false">
      <c r="A541" s="2" t="s">
        <v>3214</v>
      </c>
      <c r="B541" s="3" t="s">
        <v>3215</v>
      </c>
      <c r="C541" s="2" t="s">
        <v>3216</v>
      </c>
      <c r="D541" s="2" t="s">
        <v>15</v>
      </c>
      <c r="E541" s="2" t="s">
        <v>99</v>
      </c>
      <c r="F541" s="2" t="s">
        <v>3217</v>
      </c>
      <c r="G541" s="2" t="s">
        <v>3218</v>
      </c>
      <c r="H541" s="2" t="s">
        <v>47</v>
      </c>
      <c r="I541" s="2" t="s">
        <v>119</v>
      </c>
      <c r="J541" s="2" t="s">
        <v>71</v>
      </c>
      <c r="K541" s="2" t="s">
        <v>72</v>
      </c>
      <c r="L541" s="2" t="s">
        <v>3219</v>
      </c>
      <c r="M541" s="2"/>
    </row>
    <row r="542" customFormat="false" ht="23.85" hidden="false" customHeight="false" outlineLevel="0" collapsed="false">
      <c r="A542" s="2" t="s">
        <v>3220</v>
      </c>
      <c r="B542" s="3" t="s">
        <v>3221</v>
      </c>
      <c r="C542" s="2"/>
      <c r="D542" s="2" t="s">
        <v>179</v>
      </c>
      <c r="E542" s="2" t="s">
        <v>53</v>
      </c>
      <c r="F542" s="2" t="s">
        <v>3222</v>
      </c>
      <c r="G542" s="2" t="s">
        <v>3223</v>
      </c>
      <c r="H542" s="2" t="s">
        <v>174</v>
      </c>
      <c r="I542" s="2" t="s">
        <v>182</v>
      </c>
      <c r="J542" s="2" t="s">
        <v>86</v>
      </c>
      <c r="K542" s="2" t="s">
        <v>87</v>
      </c>
      <c r="L542" s="2" t="s">
        <v>3224</v>
      </c>
      <c r="M542" s="2"/>
    </row>
    <row r="543" customFormat="false" ht="15" hidden="false" customHeight="false" outlineLevel="0" collapsed="false">
      <c r="A543" s="2" t="s">
        <v>3225</v>
      </c>
      <c r="B543" s="3" t="s">
        <v>3226</v>
      </c>
      <c r="C543" s="2" t="s">
        <v>3227</v>
      </c>
      <c r="D543" s="2" t="s">
        <v>59</v>
      </c>
      <c r="E543" s="2" t="s">
        <v>53</v>
      </c>
      <c r="F543" s="2" t="s">
        <v>3228</v>
      </c>
      <c r="G543" s="2" t="s">
        <v>3229</v>
      </c>
      <c r="H543" s="2" t="s">
        <v>543</v>
      </c>
      <c r="I543" s="2" t="s">
        <v>29</v>
      </c>
      <c r="J543" s="2" t="s">
        <v>71</v>
      </c>
      <c r="K543" s="2" t="s">
        <v>22</v>
      </c>
      <c r="L543" s="2" t="s">
        <v>3230</v>
      </c>
      <c r="M543" s="2"/>
    </row>
    <row r="544" customFormat="false" ht="23.85" hidden="false" customHeight="false" outlineLevel="0" collapsed="false">
      <c r="A544" s="2" t="s">
        <v>3231</v>
      </c>
      <c r="B544" s="3" t="s">
        <v>3232</v>
      </c>
      <c r="C544" s="2" t="s">
        <v>3233</v>
      </c>
      <c r="D544" s="2" t="s">
        <v>106</v>
      </c>
      <c r="E544" s="2" t="s">
        <v>53</v>
      </c>
      <c r="F544" s="2" t="s">
        <v>3234</v>
      </c>
      <c r="G544" s="2" t="s">
        <v>3235</v>
      </c>
      <c r="H544" s="2" t="s">
        <v>110</v>
      </c>
      <c r="I544" s="2" t="s">
        <v>78</v>
      </c>
      <c r="J544" s="2" t="s">
        <v>21</v>
      </c>
      <c r="K544" s="2" t="s">
        <v>72</v>
      </c>
      <c r="L544" s="2" t="s">
        <v>3236</v>
      </c>
      <c r="M544" s="2"/>
    </row>
    <row r="545" customFormat="false" ht="23.85" hidden="false" customHeight="false" outlineLevel="0" collapsed="false">
      <c r="A545" s="2" t="s">
        <v>3237</v>
      </c>
      <c r="B545" s="3" t="s">
        <v>3238</v>
      </c>
      <c r="C545" s="2"/>
      <c r="D545" s="2" t="s">
        <v>82</v>
      </c>
      <c r="E545" s="2" t="s">
        <v>216</v>
      </c>
      <c r="F545" s="2" t="s">
        <v>3239</v>
      </c>
      <c r="G545" s="2" t="s">
        <v>3240</v>
      </c>
      <c r="H545" s="2" t="s">
        <v>47</v>
      </c>
      <c r="I545" s="2" t="s">
        <v>85</v>
      </c>
      <c r="J545" s="2" t="s">
        <v>71</v>
      </c>
      <c r="K545" s="2" t="s">
        <v>22</v>
      </c>
      <c r="L545" s="2" t="s">
        <v>3241</v>
      </c>
      <c r="M545" s="2"/>
    </row>
    <row r="546" customFormat="false" ht="15" hidden="false" customHeight="false" outlineLevel="0" collapsed="false">
      <c r="A546" s="2" t="s">
        <v>3242</v>
      </c>
      <c r="B546" s="3" t="s">
        <v>3243</v>
      </c>
      <c r="C546" s="2" t="s">
        <v>3244</v>
      </c>
      <c r="D546" s="2" t="s">
        <v>34</v>
      </c>
      <c r="E546" s="2" t="s">
        <v>208</v>
      </c>
      <c r="F546" s="2" t="s">
        <v>3245</v>
      </c>
      <c r="G546" s="2" t="s">
        <v>3246</v>
      </c>
      <c r="H546" s="2" t="s">
        <v>38</v>
      </c>
      <c r="I546" s="2" t="s">
        <v>48</v>
      </c>
      <c r="J546" s="2" t="s">
        <v>71</v>
      </c>
      <c r="K546" s="2" t="s">
        <v>72</v>
      </c>
      <c r="L546" s="2" t="s">
        <v>3247</v>
      </c>
      <c r="M546" s="2"/>
    </row>
    <row r="547" customFormat="false" ht="23.85" hidden="false" customHeight="false" outlineLevel="0" collapsed="false">
      <c r="A547" s="2" t="s">
        <v>3248</v>
      </c>
      <c r="B547" s="3" t="s">
        <v>3249</v>
      </c>
      <c r="C547" s="2" t="s">
        <v>3250</v>
      </c>
      <c r="D547" s="2" t="s">
        <v>106</v>
      </c>
      <c r="E547" s="2" t="s">
        <v>53</v>
      </c>
      <c r="F547" s="2" t="s">
        <v>3251</v>
      </c>
      <c r="G547" s="2" t="s">
        <v>3252</v>
      </c>
      <c r="H547" s="2" t="s">
        <v>3253</v>
      </c>
      <c r="I547" s="2" t="s">
        <v>78</v>
      </c>
      <c r="J547" s="2" t="s">
        <v>21</v>
      </c>
      <c r="K547" s="2" t="s">
        <v>72</v>
      </c>
      <c r="L547" s="2" t="s">
        <v>3254</v>
      </c>
      <c r="M547" s="2" t="s">
        <v>3255</v>
      </c>
    </row>
    <row r="548" customFormat="false" ht="23.85" hidden="false" customHeight="false" outlineLevel="0" collapsed="false">
      <c r="A548" s="2" t="s">
        <v>3256</v>
      </c>
      <c r="B548" s="3" t="s">
        <v>3257</v>
      </c>
      <c r="C548" s="2"/>
      <c r="D548" s="2" t="s">
        <v>106</v>
      </c>
      <c r="E548" s="2" t="s">
        <v>53</v>
      </c>
      <c r="F548" s="2" t="s">
        <v>3258</v>
      </c>
      <c r="G548" s="2" t="s">
        <v>3259</v>
      </c>
      <c r="H548" s="2" t="s">
        <v>110</v>
      </c>
      <c r="I548" s="2" t="s">
        <v>111</v>
      </c>
      <c r="J548" s="2" t="s">
        <v>21</v>
      </c>
      <c r="K548" s="2" t="s">
        <v>22</v>
      </c>
      <c r="L548" s="2" t="s">
        <v>3260</v>
      </c>
      <c r="M548" s="2"/>
    </row>
    <row r="549" customFormat="false" ht="23.85" hidden="false" customHeight="false" outlineLevel="0" collapsed="false">
      <c r="A549" s="2" t="s">
        <v>3261</v>
      </c>
      <c r="B549" s="3" t="s">
        <v>3262</v>
      </c>
      <c r="C549" s="2" t="s">
        <v>3263</v>
      </c>
      <c r="D549" s="2" t="s">
        <v>106</v>
      </c>
      <c r="E549" s="2" t="s">
        <v>53</v>
      </c>
      <c r="F549" s="2" t="s">
        <v>3264</v>
      </c>
      <c r="G549" s="2" t="s">
        <v>3265</v>
      </c>
      <c r="H549" s="2" t="s">
        <v>110</v>
      </c>
      <c r="I549" s="2" t="s">
        <v>111</v>
      </c>
      <c r="J549" s="2" t="s">
        <v>21</v>
      </c>
      <c r="K549" s="2" t="s">
        <v>22</v>
      </c>
      <c r="L549" s="2" t="s">
        <v>3266</v>
      </c>
      <c r="M549" s="2"/>
    </row>
    <row r="550" customFormat="false" ht="23.85" hidden="false" customHeight="false" outlineLevel="0" collapsed="false">
      <c r="A550" s="2" t="s">
        <v>2917</v>
      </c>
      <c r="B550" s="3" t="s">
        <v>3267</v>
      </c>
      <c r="C550" s="2" t="s">
        <v>3268</v>
      </c>
      <c r="D550" s="2" t="s">
        <v>106</v>
      </c>
      <c r="E550" s="2" t="s">
        <v>53</v>
      </c>
      <c r="F550" s="2" t="s">
        <v>3269</v>
      </c>
      <c r="G550" s="2" t="s">
        <v>3270</v>
      </c>
      <c r="H550" s="2" t="s">
        <v>110</v>
      </c>
      <c r="I550" s="2" t="s">
        <v>111</v>
      </c>
      <c r="J550" s="2" t="s">
        <v>21</v>
      </c>
      <c r="K550" s="2" t="s">
        <v>22</v>
      </c>
      <c r="L550" s="2" t="s">
        <v>3271</v>
      </c>
      <c r="M550" s="2"/>
    </row>
    <row r="551" customFormat="false" ht="15" hidden="false" customHeight="false" outlineLevel="0" collapsed="false">
      <c r="A551" s="2" t="s">
        <v>3272</v>
      </c>
      <c r="B551" s="3" t="s">
        <v>3273</v>
      </c>
      <c r="C551" s="2" t="s">
        <v>3274</v>
      </c>
      <c r="D551" s="2" t="s">
        <v>34</v>
      </c>
      <c r="E551" s="2" t="s">
        <v>53</v>
      </c>
      <c r="F551" s="2" t="s">
        <v>3275</v>
      </c>
      <c r="G551" s="2" t="s">
        <v>3276</v>
      </c>
      <c r="H551" s="2" t="s">
        <v>38</v>
      </c>
      <c r="I551" s="2" t="s">
        <v>85</v>
      </c>
      <c r="J551" s="2" t="s">
        <v>86</v>
      </c>
      <c r="K551" s="2" t="s">
        <v>87</v>
      </c>
      <c r="L551" s="2" t="s">
        <v>3277</v>
      </c>
      <c r="M551" s="2"/>
    </row>
    <row r="552" customFormat="false" ht="23.85" hidden="false" customHeight="false" outlineLevel="0" collapsed="false">
      <c r="A552" s="2" t="s">
        <v>3278</v>
      </c>
      <c r="B552" s="3" t="s">
        <v>3279</v>
      </c>
      <c r="C552" s="2" t="s">
        <v>3280</v>
      </c>
      <c r="D552" s="2" t="s">
        <v>82</v>
      </c>
      <c r="E552" s="2" t="s">
        <v>216</v>
      </c>
      <c r="F552" s="2" t="s">
        <v>3281</v>
      </c>
      <c r="G552" s="2" t="s">
        <v>3282</v>
      </c>
      <c r="H552" s="2" t="s">
        <v>47</v>
      </c>
      <c r="I552" s="2" t="s">
        <v>85</v>
      </c>
      <c r="J552" s="2" t="s">
        <v>86</v>
      </c>
      <c r="K552" s="2" t="s">
        <v>72</v>
      </c>
      <c r="L552" s="2" t="s">
        <v>3283</v>
      </c>
      <c r="M552" s="2"/>
    </row>
    <row r="553" customFormat="false" ht="15" hidden="false" customHeight="false" outlineLevel="0" collapsed="false">
      <c r="A553" s="2" t="s">
        <v>3284</v>
      </c>
      <c r="B553" s="3" t="s">
        <v>3285</v>
      </c>
      <c r="C553" s="2"/>
      <c r="D553" s="2" t="s">
        <v>82</v>
      </c>
      <c r="E553" s="2" t="s">
        <v>35</v>
      </c>
      <c r="F553" s="2" t="s">
        <v>3286</v>
      </c>
      <c r="G553" s="2" t="s">
        <v>3287</v>
      </c>
      <c r="H553" s="2" t="s">
        <v>675</v>
      </c>
      <c r="I553" s="2" t="s">
        <v>29</v>
      </c>
      <c r="J553" s="2" t="s">
        <v>71</v>
      </c>
      <c r="K553" s="2" t="s">
        <v>72</v>
      </c>
      <c r="L553" s="2" t="s">
        <v>3288</v>
      </c>
      <c r="M553" s="2"/>
    </row>
    <row r="554" customFormat="false" ht="23.85" hidden="false" customHeight="false" outlineLevel="0" collapsed="false">
      <c r="A554" s="2" t="s">
        <v>3289</v>
      </c>
      <c r="B554" s="3" t="s">
        <v>3290</v>
      </c>
      <c r="C554" s="2"/>
      <c r="D554" s="2" t="s">
        <v>106</v>
      </c>
      <c r="E554" s="2" t="s">
        <v>53</v>
      </c>
      <c r="F554" s="2" t="s">
        <v>3291</v>
      </c>
      <c r="G554" s="2" t="s">
        <v>3292</v>
      </c>
      <c r="H554" s="2" t="s">
        <v>110</v>
      </c>
      <c r="I554" s="2" t="s">
        <v>78</v>
      </c>
      <c r="J554" s="2" t="s">
        <v>86</v>
      </c>
      <c r="K554" s="2" t="s">
        <v>72</v>
      </c>
      <c r="L554" s="2" t="s">
        <v>3293</v>
      </c>
      <c r="M554" s="2"/>
    </row>
    <row r="555" customFormat="false" ht="15" hidden="false" customHeight="false" outlineLevel="0" collapsed="false">
      <c r="A555" s="2" t="s">
        <v>3294</v>
      </c>
      <c r="B555" s="3" t="s">
        <v>3295</v>
      </c>
      <c r="C555" s="2"/>
      <c r="D555" s="2" t="s">
        <v>251</v>
      </c>
      <c r="E555" s="2" t="s">
        <v>3296</v>
      </c>
      <c r="F555" s="2" t="s">
        <v>3297</v>
      </c>
      <c r="G555" s="2" t="s">
        <v>3298</v>
      </c>
      <c r="H555" s="2" t="s">
        <v>255</v>
      </c>
      <c r="I555" s="2" t="s">
        <v>256</v>
      </c>
      <c r="J555" s="2" t="s">
        <v>21</v>
      </c>
      <c r="K555" s="2" t="s">
        <v>22</v>
      </c>
      <c r="L555" s="2" t="s">
        <v>3299</v>
      </c>
      <c r="M555" s="2"/>
    </row>
    <row r="556" customFormat="false" ht="23.85" hidden="false" customHeight="false" outlineLevel="0" collapsed="false">
      <c r="A556" s="2" t="s">
        <v>3300</v>
      </c>
      <c r="B556" s="3" t="s">
        <v>3301</v>
      </c>
      <c r="C556" s="2"/>
      <c r="D556" s="2" t="s">
        <v>106</v>
      </c>
      <c r="E556" s="2" t="s">
        <v>53</v>
      </c>
      <c r="F556" s="2" t="s">
        <v>3302</v>
      </c>
      <c r="G556" s="2" t="s">
        <v>3303</v>
      </c>
      <c r="H556" s="2" t="s">
        <v>110</v>
      </c>
      <c r="I556" s="2" t="s">
        <v>78</v>
      </c>
      <c r="J556" s="2" t="s">
        <v>71</v>
      </c>
      <c r="K556" s="2" t="s">
        <v>72</v>
      </c>
      <c r="L556" s="2" t="s">
        <v>3304</v>
      </c>
      <c r="M556" s="2"/>
    </row>
    <row r="557" customFormat="false" ht="23.85" hidden="false" customHeight="false" outlineLevel="0" collapsed="false">
      <c r="A557" s="2" t="s">
        <v>3305</v>
      </c>
      <c r="B557" s="3" t="s">
        <v>3306</v>
      </c>
      <c r="C557" s="2" t="s">
        <v>3307</v>
      </c>
      <c r="D557" s="2" t="s">
        <v>34</v>
      </c>
      <c r="E557" s="2" t="s">
        <v>3308</v>
      </c>
      <c r="F557" s="2" t="s">
        <v>3309</v>
      </c>
      <c r="G557" s="2" t="s">
        <v>3310</v>
      </c>
      <c r="H557" s="2" t="s">
        <v>823</v>
      </c>
      <c r="I557" s="2" t="s">
        <v>78</v>
      </c>
      <c r="J557" s="2" t="s">
        <v>71</v>
      </c>
      <c r="K557" s="2" t="s">
        <v>72</v>
      </c>
      <c r="L557" s="2" t="s">
        <v>3311</v>
      </c>
      <c r="M557" s="2" t="s">
        <v>3312</v>
      </c>
    </row>
    <row r="558" customFormat="false" ht="15" hidden="false" customHeight="false" outlineLevel="0" collapsed="false">
      <c r="A558" s="2" t="s">
        <v>3313</v>
      </c>
      <c r="B558" s="3" t="s">
        <v>3314</v>
      </c>
      <c r="C558" s="2" t="s">
        <v>3315</v>
      </c>
      <c r="D558" s="2" t="s">
        <v>106</v>
      </c>
      <c r="E558" s="2" t="s">
        <v>53</v>
      </c>
      <c r="F558" s="2" t="s">
        <v>3316</v>
      </c>
      <c r="G558" s="2" t="s">
        <v>3317</v>
      </c>
      <c r="H558" s="2" t="s">
        <v>110</v>
      </c>
      <c r="I558" s="2" t="s">
        <v>111</v>
      </c>
      <c r="J558" s="2" t="s">
        <v>21</v>
      </c>
      <c r="K558" s="2" t="s">
        <v>72</v>
      </c>
      <c r="L558" s="2" t="s">
        <v>3318</v>
      </c>
      <c r="M558" s="2"/>
    </row>
    <row r="559" customFormat="false" ht="23.85" hidden="false" customHeight="false" outlineLevel="0" collapsed="false">
      <c r="A559" s="2" t="s">
        <v>3319</v>
      </c>
      <c r="B559" s="3" t="s">
        <v>3320</v>
      </c>
      <c r="C559" s="2"/>
      <c r="D559" s="2" t="s">
        <v>34</v>
      </c>
      <c r="E559" s="2" t="s">
        <v>535</v>
      </c>
      <c r="F559" s="2" t="s">
        <v>3321</v>
      </c>
      <c r="G559" s="2" t="s">
        <v>3322</v>
      </c>
      <c r="H559" s="2"/>
      <c r="I559" s="2" t="s">
        <v>48</v>
      </c>
      <c r="J559" s="2" t="s">
        <v>21</v>
      </c>
      <c r="K559" s="2" t="s">
        <v>22</v>
      </c>
      <c r="L559" s="2" t="s">
        <v>3323</v>
      </c>
      <c r="M559" s="2"/>
    </row>
    <row r="560" customFormat="false" ht="15" hidden="false" customHeight="false" outlineLevel="0" collapsed="false">
      <c r="A560" s="2" t="s">
        <v>3324</v>
      </c>
      <c r="B560" s="3" t="s">
        <v>3325</v>
      </c>
      <c r="C560" s="2"/>
      <c r="D560" s="2" t="s">
        <v>15</v>
      </c>
      <c r="E560" s="2" t="s">
        <v>312</v>
      </c>
      <c r="F560" s="2" t="s">
        <v>3326</v>
      </c>
      <c r="G560" s="2" t="s">
        <v>3327</v>
      </c>
      <c r="H560" s="2" t="s">
        <v>47</v>
      </c>
      <c r="I560" s="2" t="s">
        <v>48</v>
      </c>
      <c r="J560" s="2" t="s">
        <v>71</v>
      </c>
      <c r="K560" s="2" t="s">
        <v>22</v>
      </c>
      <c r="L560" s="2" t="s">
        <v>3328</v>
      </c>
      <c r="M560" s="2"/>
    </row>
    <row r="561" customFormat="false" ht="23.85" hidden="false" customHeight="false" outlineLevel="0" collapsed="false">
      <c r="A561" s="2" t="s">
        <v>3329</v>
      </c>
      <c r="B561" s="3" t="s">
        <v>3330</v>
      </c>
      <c r="C561" s="2" t="s">
        <v>3331</v>
      </c>
      <c r="D561" s="2" t="s">
        <v>231</v>
      </c>
      <c r="E561" s="2" t="s">
        <v>53</v>
      </c>
      <c r="F561" s="2" t="s">
        <v>3332</v>
      </c>
      <c r="G561" s="2" t="s">
        <v>3333</v>
      </c>
      <c r="H561" s="2"/>
      <c r="I561" s="2" t="s">
        <v>78</v>
      </c>
      <c r="J561" s="2" t="s">
        <v>71</v>
      </c>
      <c r="K561" s="2" t="s">
        <v>72</v>
      </c>
      <c r="L561" s="2" t="s">
        <v>3334</v>
      </c>
      <c r="M561" s="2" t="s">
        <v>3335</v>
      </c>
    </row>
    <row r="562" customFormat="false" ht="23.85" hidden="false" customHeight="false" outlineLevel="0" collapsed="false">
      <c r="A562" s="2" t="s">
        <v>3336</v>
      </c>
      <c r="B562" s="3" t="s">
        <v>3337</v>
      </c>
      <c r="C562" s="2" t="s">
        <v>3338</v>
      </c>
      <c r="D562" s="2" t="s">
        <v>231</v>
      </c>
      <c r="E562" s="2" t="s">
        <v>53</v>
      </c>
      <c r="F562" s="2" t="s">
        <v>3339</v>
      </c>
      <c r="G562" s="2" t="s">
        <v>3340</v>
      </c>
      <c r="H562" s="2"/>
      <c r="I562" s="2" t="s">
        <v>78</v>
      </c>
      <c r="J562" s="2" t="s">
        <v>71</v>
      </c>
      <c r="K562" s="2" t="s">
        <v>22</v>
      </c>
      <c r="L562" s="2" t="s">
        <v>3329</v>
      </c>
      <c r="M562" s="2"/>
    </row>
    <row r="563" customFormat="false" ht="23.85" hidden="false" customHeight="false" outlineLevel="0" collapsed="false">
      <c r="A563" s="2" t="s">
        <v>3341</v>
      </c>
      <c r="B563" s="3" t="s">
        <v>3342</v>
      </c>
      <c r="C563" s="2" t="s">
        <v>3343</v>
      </c>
      <c r="D563" s="2" t="s">
        <v>238</v>
      </c>
      <c r="E563" s="2" t="s">
        <v>53</v>
      </c>
      <c r="F563" s="2" t="s">
        <v>3344</v>
      </c>
      <c r="G563" s="2" t="s">
        <v>3345</v>
      </c>
      <c r="H563" s="2" t="s">
        <v>241</v>
      </c>
      <c r="I563" s="2" t="s">
        <v>78</v>
      </c>
      <c r="J563" s="2" t="s">
        <v>71</v>
      </c>
      <c r="K563" s="2" t="s">
        <v>72</v>
      </c>
      <c r="L563" s="2" t="s">
        <v>3346</v>
      </c>
      <c r="M563" s="2"/>
    </row>
    <row r="564" customFormat="false" ht="23.85" hidden="false" customHeight="false" outlineLevel="0" collapsed="false">
      <c r="A564" s="2" t="s">
        <v>3347</v>
      </c>
      <c r="B564" s="3" t="s">
        <v>3348</v>
      </c>
      <c r="C564" s="2" t="s">
        <v>3349</v>
      </c>
      <c r="D564" s="2" t="s">
        <v>15</v>
      </c>
      <c r="E564" s="2" t="s">
        <v>16</v>
      </c>
      <c r="F564" s="2" t="s">
        <v>3350</v>
      </c>
      <c r="G564" s="2" t="s">
        <v>3351</v>
      </c>
      <c r="H564" s="2" t="s">
        <v>47</v>
      </c>
      <c r="I564" s="2" t="s">
        <v>508</v>
      </c>
      <c r="J564" s="2" t="s">
        <v>21</v>
      </c>
      <c r="K564" s="2" t="s">
        <v>22</v>
      </c>
      <c r="L564" s="2" t="s">
        <v>3352</v>
      </c>
      <c r="M564" s="2"/>
    </row>
    <row r="565" customFormat="false" ht="15" hidden="false" customHeight="false" outlineLevel="0" collapsed="false">
      <c r="A565" s="2" t="s">
        <v>3353</v>
      </c>
      <c r="B565" s="3" t="s">
        <v>3354</v>
      </c>
      <c r="C565" s="2"/>
      <c r="D565" s="2" t="s">
        <v>52</v>
      </c>
      <c r="E565" s="2" t="s">
        <v>535</v>
      </c>
      <c r="F565" s="2" t="s">
        <v>3355</v>
      </c>
      <c r="G565" s="2" t="s">
        <v>3356</v>
      </c>
      <c r="H565" s="2"/>
      <c r="I565" s="2" t="s">
        <v>48</v>
      </c>
      <c r="J565" s="2" t="s">
        <v>21</v>
      </c>
      <c r="K565" s="2" t="s">
        <v>22</v>
      </c>
      <c r="L565" s="2" t="s">
        <v>3357</v>
      </c>
      <c r="M565" s="2"/>
    </row>
    <row r="566" customFormat="false" ht="23.85" hidden="false" customHeight="false" outlineLevel="0" collapsed="false">
      <c r="A566" s="2" t="s">
        <v>3358</v>
      </c>
      <c r="B566" s="3" t="s">
        <v>3359</v>
      </c>
      <c r="C566" s="2" t="s">
        <v>3360</v>
      </c>
      <c r="D566" s="2" t="s">
        <v>82</v>
      </c>
      <c r="E566" s="2" t="s">
        <v>116</v>
      </c>
      <c r="F566" s="2" t="s">
        <v>3361</v>
      </c>
      <c r="G566" s="2" t="s">
        <v>3362</v>
      </c>
      <c r="H566" s="2" t="s">
        <v>47</v>
      </c>
      <c r="I566" s="2" t="s">
        <v>78</v>
      </c>
      <c r="J566" s="2" t="s">
        <v>71</v>
      </c>
      <c r="K566" s="2" t="s">
        <v>72</v>
      </c>
      <c r="L566" s="2" t="s">
        <v>3363</v>
      </c>
      <c r="M566" s="2"/>
    </row>
    <row r="567" customFormat="false" ht="15" hidden="false" customHeight="false" outlineLevel="0" collapsed="false">
      <c r="A567" s="2" t="s">
        <v>3364</v>
      </c>
      <c r="B567" s="3" t="s">
        <v>3365</v>
      </c>
      <c r="C567" s="2"/>
      <c r="D567" s="2" t="s">
        <v>34</v>
      </c>
      <c r="E567" s="2" t="s">
        <v>53</v>
      </c>
      <c r="F567" s="2" t="s">
        <v>3366</v>
      </c>
      <c r="G567" s="2" t="s">
        <v>3367</v>
      </c>
      <c r="H567" s="2" t="s">
        <v>19</v>
      </c>
      <c r="I567" s="2" t="s">
        <v>85</v>
      </c>
      <c r="J567" s="2" t="s">
        <v>71</v>
      </c>
      <c r="K567" s="2" t="s">
        <v>72</v>
      </c>
      <c r="L567" s="2" t="s">
        <v>3368</v>
      </c>
      <c r="M567" s="2"/>
    </row>
    <row r="568" customFormat="false" ht="15" hidden="false" customHeight="false" outlineLevel="0" collapsed="false">
      <c r="A568" s="2" t="s">
        <v>3369</v>
      </c>
      <c r="B568" s="3" t="s">
        <v>3370</v>
      </c>
      <c r="C568" s="2"/>
      <c r="D568" s="2" t="s">
        <v>15</v>
      </c>
      <c r="E568" s="2" t="s">
        <v>16</v>
      </c>
      <c r="F568" s="2" t="s">
        <v>3371</v>
      </c>
      <c r="G568" s="2" t="s">
        <v>3372</v>
      </c>
      <c r="H568" s="2" t="s">
        <v>47</v>
      </c>
      <c r="I568" s="2" t="s">
        <v>138</v>
      </c>
      <c r="J568" s="2" t="s">
        <v>71</v>
      </c>
      <c r="K568" s="2" t="s">
        <v>22</v>
      </c>
      <c r="L568" s="2" t="s">
        <v>1904</v>
      </c>
      <c r="M568" s="2"/>
    </row>
    <row r="569" customFormat="false" ht="15" hidden="false" customHeight="false" outlineLevel="0" collapsed="false">
      <c r="A569" s="2" t="s">
        <v>3373</v>
      </c>
      <c r="B569" s="3" t="s">
        <v>3374</v>
      </c>
      <c r="C569" s="2" t="s">
        <v>3375</v>
      </c>
      <c r="D569" s="2" t="s">
        <v>34</v>
      </c>
      <c r="E569" s="2" t="s">
        <v>266</v>
      </c>
      <c r="F569" s="2" t="s">
        <v>3376</v>
      </c>
      <c r="G569" s="2" t="s">
        <v>3377</v>
      </c>
      <c r="H569" s="2" t="s">
        <v>38</v>
      </c>
      <c r="I569" s="2" t="s">
        <v>63</v>
      </c>
      <c r="J569" s="2" t="s">
        <v>21</v>
      </c>
      <c r="K569" s="2" t="s">
        <v>22</v>
      </c>
      <c r="L569" s="2" t="s">
        <v>3378</v>
      </c>
      <c r="M569" s="2"/>
    </row>
    <row r="570" customFormat="false" ht="23.85" hidden="false" customHeight="false" outlineLevel="0" collapsed="false">
      <c r="A570" s="2" t="s">
        <v>3379</v>
      </c>
      <c r="B570" s="3" t="s">
        <v>3380</v>
      </c>
      <c r="C570" s="2"/>
      <c r="D570" s="2" t="s">
        <v>238</v>
      </c>
      <c r="E570" s="2" t="s">
        <v>53</v>
      </c>
      <c r="F570" s="2" t="s">
        <v>3381</v>
      </c>
      <c r="G570" s="2" t="s">
        <v>3382</v>
      </c>
      <c r="H570" s="2" t="s">
        <v>241</v>
      </c>
      <c r="I570" s="2" t="s">
        <v>48</v>
      </c>
      <c r="J570" s="2" t="s">
        <v>71</v>
      </c>
      <c r="K570" s="2" t="s">
        <v>22</v>
      </c>
      <c r="L570" s="2" t="s">
        <v>3383</v>
      </c>
      <c r="M570" s="2"/>
    </row>
    <row r="571" customFormat="false" ht="23.85" hidden="false" customHeight="false" outlineLevel="0" collapsed="false">
      <c r="A571" s="2" t="s">
        <v>3384</v>
      </c>
      <c r="B571" s="3" t="s">
        <v>3385</v>
      </c>
      <c r="C571" s="2"/>
      <c r="D571" s="2" t="s">
        <v>238</v>
      </c>
      <c r="E571" s="2" t="s">
        <v>494</v>
      </c>
      <c r="F571" s="2" t="s">
        <v>3386</v>
      </c>
      <c r="G571" s="2" t="s">
        <v>3387</v>
      </c>
      <c r="H571" s="2" t="s">
        <v>47</v>
      </c>
      <c r="I571" s="2" t="s">
        <v>63</v>
      </c>
      <c r="J571" s="2" t="s">
        <v>21</v>
      </c>
      <c r="K571" s="2" t="s">
        <v>22</v>
      </c>
      <c r="L571" s="2" t="s">
        <v>3388</v>
      </c>
      <c r="M571" s="2"/>
    </row>
    <row r="572" customFormat="false" ht="23.85" hidden="false" customHeight="false" outlineLevel="0" collapsed="false">
      <c r="A572" s="2" t="s">
        <v>3389</v>
      </c>
      <c r="B572" s="3" t="s">
        <v>3390</v>
      </c>
      <c r="C572" s="2"/>
      <c r="D572" s="2" t="s">
        <v>15</v>
      </c>
      <c r="E572" s="2" t="s">
        <v>591</v>
      </c>
      <c r="F572" s="2" t="s">
        <v>3391</v>
      </c>
      <c r="G572" s="2" t="s">
        <v>3392</v>
      </c>
      <c r="H572" s="2" t="s">
        <v>47</v>
      </c>
      <c r="I572" s="2" t="s">
        <v>63</v>
      </c>
      <c r="J572" s="2" t="s">
        <v>71</v>
      </c>
      <c r="K572" s="2" t="s">
        <v>22</v>
      </c>
      <c r="L572" s="2" t="s">
        <v>3393</v>
      </c>
      <c r="M572" s="2"/>
    </row>
    <row r="573" customFormat="false" ht="23.85" hidden="false" customHeight="false" outlineLevel="0" collapsed="false">
      <c r="A573" s="2" t="s">
        <v>980</v>
      </c>
      <c r="B573" s="3" t="s">
        <v>3394</v>
      </c>
      <c r="C573" s="2"/>
      <c r="D573" s="2" t="s">
        <v>15</v>
      </c>
      <c r="E573" s="2" t="s">
        <v>977</v>
      </c>
      <c r="F573" s="2" t="s">
        <v>3395</v>
      </c>
      <c r="G573" s="2" t="s">
        <v>3396</v>
      </c>
      <c r="H573" s="2"/>
      <c r="I573" s="2" t="s">
        <v>119</v>
      </c>
      <c r="J573" s="2" t="s">
        <v>86</v>
      </c>
      <c r="K573" s="2" t="s">
        <v>87</v>
      </c>
      <c r="L573" s="2" t="s">
        <v>3397</v>
      </c>
      <c r="M573" s="2" t="s">
        <v>3398</v>
      </c>
    </row>
    <row r="574" customFormat="false" ht="15" hidden="false" customHeight="false" outlineLevel="0" collapsed="false">
      <c r="A574" s="2" t="s">
        <v>3399</v>
      </c>
      <c r="B574" s="3" t="s">
        <v>3400</v>
      </c>
      <c r="C574" s="2" t="s">
        <v>3401</v>
      </c>
      <c r="D574" s="2" t="s">
        <v>15</v>
      </c>
      <c r="E574" s="2" t="s">
        <v>977</v>
      </c>
      <c r="F574" s="2" t="s">
        <v>3402</v>
      </c>
      <c r="G574" s="2" t="s">
        <v>3403</v>
      </c>
      <c r="H574" s="2"/>
      <c r="I574" s="2" t="s">
        <v>111</v>
      </c>
      <c r="J574" s="2" t="s">
        <v>21</v>
      </c>
      <c r="K574" s="2" t="s">
        <v>22</v>
      </c>
      <c r="L574" s="2" t="s">
        <v>3404</v>
      </c>
      <c r="M574" s="2"/>
    </row>
    <row r="575" customFormat="false" ht="23.85" hidden="false" customHeight="false" outlineLevel="0" collapsed="false">
      <c r="A575" s="2" t="s">
        <v>3405</v>
      </c>
      <c r="B575" s="3" t="s">
        <v>3406</v>
      </c>
      <c r="C575" s="2" t="s">
        <v>3407</v>
      </c>
      <c r="D575" s="2" t="s">
        <v>106</v>
      </c>
      <c r="E575" s="2" t="s">
        <v>99</v>
      </c>
      <c r="F575" s="2" t="s">
        <v>3408</v>
      </c>
      <c r="G575" s="2" t="s">
        <v>3409</v>
      </c>
      <c r="H575" s="2" t="s">
        <v>410</v>
      </c>
      <c r="I575" s="2" t="s">
        <v>111</v>
      </c>
      <c r="J575" s="2" t="s">
        <v>71</v>
      </c>
      <c r="K575" s="2" t="s">
        <v>72</v>
      </c>
      <c r="L575" s="2" t="s">
        <v>3410</v>
      </c>
      <c r="M575" s="2" t="s">
        <v>3411</v>
      </c>
    </row>
    <row r="576" customFormat="false" ht="23.85" hidden="false" customHeight="false" outlineLevel="0" collapsed="false">
      <c r="A576" s="2" t="s">
        <v>3412</v>
      </c>
      <c r="B576" s="3" t="s">
        <v>3413</v>
      </c>
      <c r="C576" s="2" t="s">
        <v>3414</v>
      </c>
      <c r="D576" s="2" t="s">
        <v>15</v>
      </c>
      <c r="E576" s="2" t="s">
        <v>2348</v>
      </c>
      <c r="F576" s="2" t="s">
        <v>3415</v>
      </c>
      <c r="G576" s="2" t="s">
        <v>3416</v>
      </c>
      <c r="H576" s="2" t="s">
        <v>47</v>
      </c>
      <c r="I576" s="2" t="s">
        <v>48</v>
      </c>
      <c r="J576" s="2" t="s">
        <v>71</v>
      </c>
      <c r="K576" s="2" t="s">
        <v>72</v>
      </c>
      <c r="L576" s="2" t="s">
        <v>3417</v>
      </c>
      <c r="M576" s="2" t="s">
        <v>3418</v>
      </c>
    </row>
    <row r="577" customFormat="false" ht="23.85" hidden="false" customHeight="false" outlineLevel="0" collapsed="false">
      <c r="A577" s="2" t="s">
        <v>3419</v>
      </c>
      <c r="B577" s="3" t="s">
        <v>3420</v>
      </c>
      <c r="C577" s="2" t="s">
        <v>3421</v>
      </c>
      <c r="D577" s="2" t="s">
        <v>15</v>
      </c>
      <c r="E577" s="2" t="s">
        <v>99</v>
      </c>
      <c r="F577" s="2" t="s">
        <v>3422</v>
      </c>
      <c r="G577" s="2" t="s">
        <v>3423</v>
      </c>
      <c r="H577" s="2" t="s">
        <v>3424</v>
      </c>
      <c r="I577" s="2" t="s">
        <v>508</v>
      </c>
      <c r="J577" s="2" t="s">
        <v>71</v>
      </c>
      <c r="K577" s="2" t="s">
        <v>72</v>
      </c>
      <c r="L577" s="2" t="s">
        <v>3425</v>
      </c>
      <c r="M577" s="2"/>
    </row>
    <row r="578" customFormat="false" ht="23.85" hidden="false" customHeight="false" outlineLevel="0" collapsed="false">
      <c r="A578" s="2" t="s">
        <v>3426</v>
      </c>
      <c r="B578" s="3" t="s">
        <v>3427</v>
      </c>
      <c r="C578" s="2" t="s">
        <v>3428</v>
      </c>
      <c r="D578" s="2" t="s">
        <v>82</v>
      </c>
      <c r="E578" s="2" t="s">
        <v>91</v>
      </c>
      <c r="F578" s="2" t="s">
        <v>3429</v>
      </c>
      <c r="G578" s="2" t="s">
        <v>3430</v>
      </c>
      <c r="H578" s="2" t="s">
        <v>675</v>
      </c>
      <c r="I578" s="2" t="s">
        <v>138</v>
      </c>
      <c r="J578" s="2" t="s">
        <v>71</v>
      </c>
      <c r="K578" s="2" t="s">
        <v>72</v>
      </c>
      <c r="L578" s="2" t="s">
        <v>3431</v>
      </c>
      <c r="M578" s="2"/>
    </row>
    <row r="579" customFormat="false" ht="15" hidden="false" customHeight="false" outlineLevel="0" collapsed="false">
      <c r="A579" s="2" t="s">
        <v>3432</v>
      </c>
      <c r="B579" s="3" t="s">
        <v>3433</v>
      </c>
      <c r="C579" s="2" t="s">
        <v>3434</v>
      </c>
      <c r="D579" s="2" t="s">
        <v>82</v>
      </c>
      <c r="E579" s="2" t="s">
        <v>3435</v>
      </c>
      <c r="F579" s="2" t="s">
        <v>3436</v>
      </c>
      <c r="G579" s="2" t="s">
        <v>3437</v>
      </c>
      <c r="H579" s="2" t="s">
        <v>675</v>
      </c>
      <c r="I579" s="2" t="s">
        <v>138</v>
      </c>
      <c r="J579" s="2" t="s">
        <v>86</v>
      </c>
      <c r="K579" s="2" t="s">
        <v>72</v>
      </c>
      <c r="L579" s="2" t="s">
        <v>3438</v>
      </c>
      <c r="M579" s="2"/>
    </row>
    <row r="580" customFormat="false" ht="23.85" hidden="false" customHeight="false" outlineLevel="0" collapsed="false">
      <c r="A580" s="2" t="s">
        <v>3439</v>
      </c>
      <c r="B580" s="3" t="s">
        <v>3440</v>
      </c>
      <c r="C580" s="2"/>
      <c r="D580" s="2" t="s">
        <v>34</v>
      </c>
      <c r="E580" s="2" t="s">
        <v>116</v>
      </c>
      <c r="F580" s="2" t="s">
        <v>3441</v>
      </c>
      <c r="G580" s="2" t="s">
        <v>3442</v>
      </c>
      <c r="H580" s="2" t="s">
        <v>38</v>
      </c>
      <c r="I580" s="2" t="s">
        <v>20</v>
      </c>
      <c r="J580" s="2" t="s">
        <v>71</v>
      </c>
      <c r="K580" s="2" t="s">
        <v>72</v>
      </c>
      <c r="L580" s="2" t="s">
        <v>3443</v>
      </c>
      <c r="M580" s="2" t="s">
        <v>3444</v>
      </c>
    </row>
    <row r="581" customFormat="false" ht="23.85" hidden="false" customHeight="false" outlineLevel="0" collapsed="false">
      <c r="A581" s="2" t="s">
        <v>3445</v>
      </c>
      <c r="B581" s="3" t="s">
        <v>3446</v>
      </c>
      <c r="C581" s="2"/>
      <c r="D581" s="2" t="s">
        <v>15</v>
      </c>
      <c r="E581" s="2" t="s">
        <v>977</v>
      </c>
      <c r="F581" s="2" t="s">
        <v>3447</v>
      </c>
      <c r="G581" s="2" t="s">
        <v>3448</v>
      </c>
      <c r="H581" s="2"/>
      <c r="I581" s="2" t="s">
        <v>182</v>
      </c>
      <c r="J581" s="2" t="s">
        <v>86</v>
      </c>
      <c r="K581" s="2" t="s">
        <v>87</v>
      </c>
      <c r="L581" s="2" t="s">
        <v>3449</v>
      </c>
      <c r="M581" s="2"/>
    </row>
    <row r="582" customFormat="false" ht="23.85" hidden="false" customHeight="false" outlineLevel="0" collapsed="false">
      <c r="A582" s="2" t="s">
        <v>3450</v>
      </c>
      <c r="B582" s="3" t="s">
        <v>3451</v>
      </c>
      <c r="C582" s="2" t="s">
        <v>3452</v>
      </c>
      <c r="D582" s="2" t="s">
        <v>15</v>
      </c>
      <c r="E582" s="2" t="s">
        <v>977</v>
      </c>
      <c r="F582" s="2" t="s">
        <v>3453</v>
      </c>
      <c r="G582" s="2" t="s">
        <v>3454</v>
      </c>
      <c r="H582" s="2"/>
      <c r="I582" s="2" t="s">
        <v>119</v>
      </c>
      <c r="J582" s="2" t="s">
        <v>71</v>
      </c>
      <c r="K582" s="2" t="s">
        <v>72</v>
      </c>
      <c r="L582" s="2" t="s">
        <v>3455</v>
      </c>
      <c r="M582" s="2"/>
    </row>
    <row r="583" customFormat="false" ht="23.85" hidden="false" customHeight="false" outlineLevel="0" collapsed="false">
      <c r="A583" s="2" t="s">
        <v>3456</v>
      </c>
      <c r="B583" s="3" t="s">
        <v>3457</v>
      </c>
      <c r="C583" s="2" t="s">
        <v>3458</v>
      </c>
      <c r="D583" s="2" t="s">
        <v>223</v>
      </c>
      <c r="E583" s="2" t="s">
        <v>977</v>
      </c>
      <c r="F583" s="2" t="s">
        <v>3459</v>
      </c>
      <c r="G583" s="2" t="s">
        <v>3460</v>
      </c>
      <c r="H583" s="2"/>
      <c r="I583" s="2" t="s">
        <v>119</v>
      </c>
      <c r="J583" s="2" t="s">
        <v>71</v>
      </c>
      <c r="K583" s="2" t="s">
        <v>72</v>
      </c>
      <c r="L583" s="2" t="s">
        <v>3461</v>
      </c>
      <c r="M583" s="2"/>
    </row>
    <row r="584" customFormat="false" ht="23.85" hidden="false" customHeight="false" outlineLevel="0" collapsed="false">
      <c r="A584" s="2" t="s">
        <v>3462</v>
      </c>
      <c r="B584" s="3" t="s">
        <v>3463</v>
      </c>
      <c r="C584" s="2" t="s">
        <v>3464</v>
      </c>
      <c r="D584" s="2" t="s">
        <v>15</v>
      </c>
      <c r="E584" s="2" t="s">
        <v>977</v>
      </c>
      <c r="F584" s="2" t="s">
        <v>3465</v>
      </c>
      <c r="G584" s="2" t="s">
        <v>3466</v>
      </c>
      <c r="H584" s="2"/>
      <c r="I584" s="2" t="s">
        <v>138</v>
      </c>
      <c r="J584" s="2" t="s">
        <v>86</v>
      </c>
      <c r="K584" s="2" t="s">
        <v>72</v>
      </c>
      <c r="L584" s="2" t="s">
        <v>3467</v>
      </c>
      <c r="M584" s="2"/>
    </row>
    <row r="585" customFormat="false" ht="23.85" hidden="false" customHeight="false" outlineLevel="0" collapsed="false">
      <c r="A585" s="2" t="s">
        <v>3468</v>
      </c>
      <c r="B585" s="3" t="s">
        <v>3469</v>
      </c>
      <c r="C585" s="2" t="s">
        <v>3470</v>
      </c>
      <c r="D585" s="2" t="s">
        <v>15</v>
      </c>
      <c r="E585" s="2" t="s">
        <v>977</v>
      </c>
      <c r="F585" s="2" t="s">
        <v>3471</v>
      </c>
      <c r="G585" s="2" t="s">
        <v>3472</v>
      </c>
      <c r="H585" s="2"/>
      <c r="I585" s="2" t="s">
        <v>138</v>
      </c>
      <c r="J585" s="2" t="s">
        <v>86</v>
      </c>
      <c r="K585" s="2" t="s">
        <v>72</v>
      </c>
      <c r="L585" s="2" t="s">
        <v>3473</v>
      </c>
      <c r="M585" s="2"/>
    </row>
    <row r="586" customFormat="false" ht="23.85" hidden="false" customHeight="false" outlineLevel="0" collapsed="false">
      <c r="A586" s="2" t="s">
        <v>3474</v>
      </c>
      <c r="B586" s="3" t="s">
        <v>3475</v>
      </c>
      <c r="C586" s="2" t="s">
        <v>3476</v>
      </c>
      <c r="D586" s="2" t="s">
        <v>15</v>
      </c>
      <c r="E586" s="2" t="s">
        <v>977</v>
      </c>
      <c r="F586" s="2" t="s">
        <v>3477</v>
      </c>
      <c r="G586" s="2" t="s">
        <v>3478</v>
      </c>
      <c r="H586" s="2"/>
      <c r="I586" s="2" t="s">
        <v>119</v>
      </c>
      <c r="J586" s="2" t="s">
        <v>86</v>
      </c>
      <c r="K586" s="2" t="s">
        <v>72</v>
      </c>
      <c r="L586" s="2" t="s">
        <v>3479</v>
      </c>
      <c r="M586" s="2" t="s">
        <v>3480</v>
      </c>
    </row>
    <row r="587" customFormat="false" ht="23.85" hidden="false" customHeight="false" outlineLevel="0" collapsed="false">
      <c r="A587" s="2" t="s">
        <v>3481</v>
      </c>
      <c r="B587" s="3" t="s">
        <v>3482</v>
      </c>
      <c r="C587" s="2" t="s">
        <v>3483</v>
      </c>
      <c r="D587" s="2" t="s">
        <v>15</v>
      </c>
      <c r="E587" s="2" t="s">
        <v>99</v>
      </c>
      <c r="F587" s="2" t="s">
        <v>3484</v>
      </c>
      <c r="G587" s="2" t="s">
        <v>3485</v>
      </c>
      <c r="H587" s="2" t="s">
        <v>47</v>
      </c>
      <c r="I587" s="2" t="s">
        <v>119</v>
      </c>
      <c r="J587" s="2" t="s">
        <v>71</v>
      </c>
      <c r="K587" s="2" t="s">
        <v>72</v>
      </c>
      <c r="L587" s="2" t="s">
        <v>3467</v>
      </c>
      <c r="M587" s="2" t="s">
        <v>3486</v>
      </c>
    </row>
    <row r="588" customFormat="false" ht="23.85" hidden="false" customHeight="false" outlineLevel="0" collapsed="false">
      <c r="A588" s="2" t="s">
        <v>3487</v>
      </c>
      <c r="B588" s="3" t="s">
        <v>3488</v>
      </c>
      <c r="C588" s="2" t="s">
        <v>3489</v>
      </c>
      <c r="D588" s="2" t="s">
        <v>238</v>
      </c>
      <c r="E588" s="2" t="s">
        <v>99</v>
      </c>
      <c r="F588" s="2" t="s">
        <v>3490</v>
      </c>
      <c r="G588" s="2" t="s">
        <v>3491</v>
      </c>
      <c r="H588" s="2" t="s">
        <v>241</v>
      </c>
      <c r="I588" s="2" t="s">
        <v>111</v>
      </c>
      <c r="J588" s="2" t="s">
        <v>21</v>
      </c>
      <c r="K588" s="2" t="s">
        <v>22</v>
      </c>
      <c r="L588" s="2" t="s">
        <v>1955</v>
      </c>
      <c r="M588" s="2"/>
    </row>
    <row r="589" customFormat="false" ht="23.85" hidden="false" customHeight="false" outlineLevel="0" collapsed="false">
      <c r="A589" s="2" t="s">
        <v>198</v>
      </c>
      <c r="B589" s="3" t="s">
        <v>3492</v>
      </c>
      <c r="C589" s="2" t="s">
        <v>3493</v>
      </c>
      <c r="D589" s="2" t="s">
        <v>15</v>
      </c>
      <c r="E589" s="2" t="s">
        <v>99</v>
      </c>
      <c r="F589" s="2" t="s">
        <v>3494</v>
      </c>
      <c r="G589" s="2" t="s">
        <v>3495</v>
      </c>
      <c r="H589" s="2" t="s">
        <v>47</v>
      </c>
      <c r="I589" s="2" t="s">
        <v>119</v>
      </c>
      <c r="J589" s="2" t="s">
        <v>86</v>
      </c>
      <c r="K589" s="2" t="s">
        <v>72</v>
      </c>
      <c r="L589" s="2" t="s">
        <v>3496</v>
      </c>
      <c r="M589" s="2"/>
    </row>
    <row r="590" customFormat="false" ht="23.85" hidden="false" customHeight="false" outlineLevel="0" collapsed="false">
      <c r="A590" s="2" t="s">
        <v>3497</v>
      </c>
      <c r="B590" s="3" t="s">
        <v>3498</v>
      </c>
      <c r="C590" s="2" t="s">
        <v>3499</v>
      </c>
      <c r="D590" s="2" t="s">
        <v>34</v>
      </c>
      <c r="E590" s="2" t="s">
        <v>116</v>
      </c>
      <c r="F590" s="2" t="s">
        <v>3500</v>
      </c>
      <c r="G590" s="2" t="s">
        <v>3501</v>
      </c>
      <c r="H590" s="2" t="s">
        <v>38</v>
      </c>
      <c r="I590" s="2" t="s">
        <v>29</v>
      </c>
      <c r="J590" s="2" t="s">
        <v>21</v>
      </c>
      <c r="K590" s="2" t="s">
        <v>22</v>
      </c>
      <c r="L590" s="2" t="s">
        <v>3502</v>
      </c>
      <c r="M590" s="2" t="s">
        <v>3503</v>
      </c>
    </row>
    <row r="591" customFormat="false" ht="23.85" hidden="false" customHeight="false" outlineLevel="0" collapsed="false">
      <c r="A591" s="2" t="s">
        <v>3504</v>
      </c>
      <c r="B591" s="3" t="s">
        <v>3505</v>
      </c>
      <c r="C591" s="2" t="s">
        <v>3506</v>
      </c>
      <c r="D591" s="2" t="s">
        <v>223</v>
      </c>
      <c r="E591" s="2" t="s">
        <v>53</v>
      </c>
      <c r="F591" s="2" t="s">
        <v>3507</v>
      </c>
      <c r="G591" s="2" t="s">
        <v>3508</v>
      </c>
      <c r="H591" s="2" t="s">
        <v>28</v>
      </c>
      <c r="I591" s="2" t="s">
        <v>78</v>
      </c>
      <c r="J591" s="2" t="s">
        <v>71</v>
      </c>
      <c r="K591" s="2" t="s">
        <v>87</v>
      </c>
      <c r="L591" s="2" t="s">
        <v>3509</v>
      </c>
      <c r="M591" s="2"/>
    </row>
    <row r="592" customFormat="false" ht="23.85" hidden="false" customHeight="false" outlineLevel="0" collapsed="false">
      <c r="A592" s="2" t="s">
        <v>3510</v>
      </c>
      <c r="B592" s="3" t="s">
        <v>3511</v>
      </c>
      <c r="C592" s="2"/>
      <c r="D592" s="2" t="s">
        <v>238</v>
      </c>
      <c r="E592" s="2" t="s">
        <v>591</v>
      </c>
      <c r="F592" s="2" t="s">
        <v>3512</v>
      </c>
      <c r="G592" s="2" t="s">
        <v>3513</v>
      </c>
      <c r="H592" s="2" t="s">
        <v>241</v>
      </c>
      <c r="I592" s="2" t="s">
        <v>63</v>
      </c>
      <c r="J592" s="2" t="s">
        <v>21</v>
      </c>
      <c r="K592" s="2" t="s">
        <v>22</v>
      </c>
      <c r="L592" s="2" t="s">
        <v>3514</v>
      </c>
      <c r="M592" s="2" t="s">
        <v>3515</v>
      </c>
    </row>
    <row r="593" customFormat="false" ht="23.85" hidden="false" customHeight="false" outlineLevel="0" collapsed="false">
      <c r="A593" s="2" t="s">
        <v>3516</v>
      </c>
      <c r="B593" s="3" t="s">
        <v>3517</v>
      </c>
      <c r="C593" s="2"/>
      <c r="D593" s="2" t="s">
        <v>106</v>
      </c>
      <c r="E593" s="2" t="s">
        <v>53</v>
      </c>
      <c r="F593" s="2" t="s">
        <v>3518</v>
      </c>
      <c r="G593" s="2" t="s">
        <v>3519</v>
      </c>
      <c r="H593" s="2" t="s">
        <v>288</v>
      </c>
      <c r="I593" s="2" t="s">
        <v>29</v>
      </c>
      <c r="J593" s="2" t="s">
        <v>71</v>
      </c>
      <c r="K593" s="2" t="s">
        <v>72</v>
      </c>
      <c r="L593" s="2" t="s">
        <v>3520</v>
      </c>
      <c r="M593" s="2"/>
    </row>
    <row r="594" customFormat="false" ht="23.85" hidden="false" customHeight="false" outlineLevel="0" collapsed="false">
      <c r="A594" s="2" t="s">
        <v>3521</v>
      </c>
      <c r="B594" s="3" t="s">
        <v>3522</v>
      </c>
      <c r="C594" s="2"/>
      <c r="D594" s="2" t="s">
        <v>34</v>
      </c>
      <c r="E594" s="2" t="s">
        <v>53</v>
      </c>
      <c r="F594" s="2" t="s">
        <v>3523</v>
      </c>
      <c r="G594" s="2" t="s">
        <v>3524</v>
      </c>
      <c r="H594" s="2" t="s">
        <v>624</v>
      </c>
      <c r="I594" s="2" t="s">
        <v>20</v>
      </c>
      <c r="J594" s="2" t="s">
        <v>71</v>
      </c>
      <c r="K594" s="2" t="s">
        <v>72</v>
      </c>
      <c r="L594" s="2" t="s">
        <v>3525</v>
      </c>
      <c r="M594" s="2"/>
    </row>
    <row r="595" customFormat="false" ht="23.85" hidden="false" customHeight="false" outlineLevel="0" collapsed="false">
      <c r="A595" s="2" t="s">
        <v>3526</v>
      </c>
      <c r="B595" s="3" t="s">
        <v>3527</v>
      </c>
      <c r="C595" s="2" t="s">
        <v>3528</v>
      </c>
      <c r="D595" s="2" t="s">
        <v>82</v>
      </c>
      <c r="E595" s="2" t="s">
        <v>116</v>
      </c>
      <c r="F595" s="2" t="s">
        <v>3529</v>
      </c>
      <c r="G595" s="2" t="s">
        <v>3530</v>
      </c>
      <c r="H595" s="2" t="s">
        <v>47</v>
      </c>
      <c r="I595" s="2" t="s">
        <v>63</v>
      </c>
      <c r="J595" s="2" t="s">
        <v>71</v>
      </c>
      <c r="K595" s="2" t="s">
        <v>22</v>
      </c>
      <c r="L595" s="2" t="s">
        <v>3531</v>
      </c>
      <c r="M595" s="2"/>
    </row>
    <row r="596" customFormat="false" ht="23.85" hidden="false" customHeight="false" outlineLevel="0" collapsed="false">
      <c r="A596" s="2" t="s">
        <v>3532</v>
      </c>
      <c r="B596" s="3" t="s">
        <v>3533</v>
      </c>
      <c r="C596" s="2" t="s">
        <v>3534</v>
      </c>
      <c r="D596" s="2" t="s">
        <v>238</v>
      </c>
      <c r="E596" s="2" t="s">
        <v>53</v>
      </c>
      <c r="F596" s="2" t="s">
        <v>3535</v>
      </c>
      <c r="G596" s="2" t="s">
        <v>3536</v>
      </c>
      <c r="H596" s="2" t="s">
        <v>241</v>
      </c>
      <c r="I596" s="2" t="s">
        <v>78</v>
      </c>
      <c r="J596" s="2" t="s">
        <v>71</v>
      </c>
      <c r="K596" s="2" t="s">
        <v>22</v>
      </c>
      <c r="L596" s="2" t="s">
        <v>3537</v>
      </c>
      <c r="M596" s="2"/>
    </row>
    <row r="597" customFormat="false" ht="23.85" hidden="false" customHeight="false" outlineLevel="0" collapsed="false">
      <c r="A597" s="2" t="s">
        <v>30</v>
      </c>
      <c r="B597" s="3" t="s">
        <v>3538</v>
      </c>
      <c r="C597" s="2" t="s">
        <v>3539</v>
      </c>
      <c r="D597" s="2" t="s">
        <v>15</v>
      </c>
      <c r="E597" s="2" t="s">
        <v>16</v>
      </c>
      <c r="F597" s="2" t="s">
        <v>3540</v>
      </c>
      <c r="G597" s="2" t="s">
        <v>3541</v>
      </c>
      <c r="H597" s="2" t="s">
        <v>47</v>
      </c>
      <c r="I597" s="2" t="s">
        <v>508</v>
      </c>
      <c r="J597" s="2" t="s">
        <v>21</v>
      </c>
      <c r="K597" s="2" t="s">
        <v>22</v>
      </c>
      <c r="L597" s="2" t="s">
        <v>3542</v>
      </c>
      <c r="M597" s="2" t="s">
        <v>3543</v>
      </c>
    </row>
    <row r="598" customFormat="false" ht="15" hidden="false" customHeight="false" outlineLevel="0" collapsed="false">
      <c r="A598" s="2" t="s">
        <v>3544</v>
      </c>
      <c r="B598" s="3" t="s">
        <v>3545</v>
      </c>
      <c r="C598" s="2" t="s">
        <v>3546</v>
      </c>
      <c r="D598" s="2" t="s">
        <v>82</v>
      </c>
      <c r="E598" s="2" t="s">
        <v>216</v>
      </c>
      <c r="F598" s="2" t="s">
        <v>3547</v>
      </c>
      <c r="G598" s="2" t="s">
        <v>3548</v>
      </c>
      <c r="H598" s="2" t="s">
        <v>47</v>
      </c>
      <c r="I598" s="2" t="s">
        <v>85</v>
      </c>
      <c r="J598" s="2" t="s">
        <v>71</v>
      </c>
      <c r="K598" s="2" t="s">
        <v>22</v>
      </c>
      <c r="L598" s="2" t="s">
        <v>2045</v>
      </c>
      <c r="M598" s="2"/>
    </row>
    <row r="599" customFormat="false" ht="23.85" hidden="false" customHeight="false" outlineLevel="0" collapsed="false">
      <c r="A599" s="2" t="s">
        <v>3549</v>
      </c>
      <c r="B599" s="3" t="s">
        <v>3550</v>
      </c>
      <c r="C599" s="2"/>
      <c r="D599" s="2" t="s">
        <v>238</v>
      </c>
      <c r="E599" s="2" t="s">
        <v>1227</v>
      </c>
      <c r="F599" s="2" t="s">
        <v>3551</v>
      </c>
      <c r="G599" s="2" t="s">
        <v>3552</v>
      </c>
      <c r="H599" s="2" t="s">
        <v>241</v>
      </c>
      <c r="I599" s="2" t="s">
        <v>48</v>
      </c>
      <c r="J599" s="2" t="s">
        <v>21</v>
      </c>
      <c r="K599" s="2" t="s">
        <v>22</v>
      </c>
      <c r="L599" s="2" t="s">
        <v>3553</v>
      </c>
      <c r="M599" s="2"/>
    </row>
    <row r="600" customFormat="false" ht="15" hidden="false" customHeight="false" outlineLevel="0" collapsed="false">
      <c r="A600" s="2" t="s">
        <v>3554</v>
      </c>
      <c r="B600" s="3" t="s">
        <v>3555</v>
      </c>
      <c r="C600" s="2"/>
      <c r="D600" s="2" t="s">
        <v>34</v>
      </c>
      <c r="E600" s="2" t="s">
        <v>53</v>
      </c>
      <c r="F600" s="2" t="s">
        <v>3556</v>
      </c>
      <c r="G600" s="2" t="s">
        <v>3557</v>
      </c>
      <c r="H600" s="2" t="s">
        <v>38</v>
      </c>
      <c r="I600" s="2" t="s">
        <v>48</v>
      </c>
      <c r="J600" s="2" t="s">
        <v>71</v>
      </c>
      <c r="K600" s="2" t="s">
        <v>72</v>
      </c>
      <c r="L600" s="2" t="s">
        <v>3558</v>
      </c>
      <c r="M600" s="2"/>
    </row>
    <row r="601" customFormat="false" ht="15" hidden="false" customHeight="false" outlineLevel="0" collapsed="false">
      <c r="A601" s="2" t="s">
        <v>3559</v>
      </c>
      <c r="B601" s="3" t="s">
        <v>3560</v>
      </c>
      <c r="C601" s="2" t="s">
        <v>3561</v>
      </c>
      <c r="D601" s="2" t="s">
        <v>34</v>
      </c>
      <c r="E601" s="2" t="s">
        <v>53</v>
      </c>
      <c r="F601" s="2" t="s">
        <v>3562</v>
      </c>
      <c r="G601" s="2" t="s">
        <v>3563</v>
      </c>
      <c r="H601" s="2" t="s">
        <v>38</v>
      </c>
      <c r="I601" s="2" t="s">
        <v>48</v>
      </c>
      <c r="J601" s="2" t="s">
        <v>71</v>
      </c>
      <c r="K601" s="2" t="s">
        <v>22</v>
      </c>
      <c r="L601" s="2" t="s">
        <v>3564</v>
      </c>
      <c r="M601" s="2"/>
    </row>
    <row r="602" customFormat="false" ht="15" hidden="false" customHeight="false" outlineLevel="0" collapsed="false">
      <c r="A602" s="2" t="s">
        <v>3565</v>
      </c>
      <c r="B602" s="3" t="s">
        <v>3566</v>
      </c>
      <c r="C602" s="2"/>
      <c r="D602" s="2" t="s">
        <v>106</v>
      </c>
      <c r="E602" s="2" t="s">
        <v>116</v>
      </c>
      <c r="F602" s="2" t="s">
        <v>3567</v>
      </c>
      <c r="G602" s="2" t="s">
        <v>3568</v>
      </c>
      <c r="H602" s="2" t="s">
        <v>110</v>
      </c>
      <c r="I602" s="2" t="s">
        <v>111</v>
      </c>
      <c r="J602" s="2" t="s">
        <v>21</v>
      </c>
      <c r="K602" s="2" t="s">
        <v>22</v>
      </c>
      <c r="L602" s="2" t="s">
        <v>3569</v>
      </c>
      <c r="M602" s="2"/>
    </row>
    <row r="603" customFormat="false" ht="15" hidden="false" customHeight="false" outlineLevel="0" collapsed="false">
      <c r="A603" s="2" t="s">
        <v>3569</v>
      </c>
      <c r="B603" s="3" t="s">
        <v>3570</v>
      </c>
      <c r="C603" s="2"/>
      <c r="D603" s="2" t="s">
        <v>106</v>
      </c>
      <c r="E603" s="2" t="s">
        <v>16</v>
      </c>
      <c r="F603" s="2" t="s">
        <v>3571</v>
      </c>
      <c r="G603" s="2" t="s">
        <v>3572</v>
      </c>
      <c r="H603" s="2" t="s">
        <v>110</v>
      </c>
      <c r="I603" s="2" t="s">
        <v>111</v>
      </c>
      <c r="J603" s="2" t="s">
        <v>21</v>
      </c>
      <c r="K603" s="2" t="s">
        <v>22</v>
      </c>
      <c r="L603" s="2" t="s">
        <v>3573</v>
      </c>
      <c r="M603" s="2"/>
    </row>
    <row r="604" customFormat="false" ht="23.85" hidden="false" customHeight="false" outlineLevel="0" collapsed="false">
      <c r="A604" s="2" t="s">
        <v>3574</v>
      </c>
      <c r="B604" s="3" t="s">
        <v>3575</v>
      </c>
      <c r="C604" s="2" t="s">
        <v>3576</v>
      </c>
      <c r="D604" s="2" t="s">
        <v>106</v>
      </c>
      <c r="E604" s="2" t="s">
        <v>116</v>
      </c>
      <c r="F604" s="2" t="s">
        <v>3577</v>
      </c>
      <c r="G604" s="2" t="s">
        <v>3578</v>
      </c>
      <c r="H604" s="2" t="s">
        <v>110</v>
      </c>
      <c r="I604" s="2" t="s">
        <v>111</v>
      </c>
      <c r="J604" s="2" t="s">
        <v>21</v>
      </c>
      <c r="K604" s="2" t="s">
        <v>22</v>
      </c>
      <c r="L604" s="2" t="s">
        <v>3579</v>
      </c>
      <c r="M604" s="2" t="s">
        <v>3580</v>
      </c>
    </row>
    <row r="605" customFormat="false" ht="23.85" hidden="false" customHeight="false" outlineLevel="0" collapsed="false">
      <c r="A605" s="2" t="s">
        <v>3581</v>
      </c>
      <c r="B605" s="3" t="s">
        <v>3582</v>
      </c>
      <c r="C605" s="2" t="s">
        <v>3583</v>
      </c>
      <c r="D605" s="2" t="s">
        <v>15</v>
      </c>
      <c r="E605" s="2" t="s">
        <v>312</v>
      </c>
      <c r="F605" s="2" t="s">
        <v>3584</v>
      </c>
      <c r="G605" s="2" t="s">
        <v>3585</v>
      </c>
      <c r="H605" s="2" t="s">
        <v>226</v>
      </c>
      <c r="I605" s="2" t="s">
        <v>94</v>
      </c>
      <c r="J605" s="2" t="s">
        <v>71</v>
      </c>
      <c r="K605" s="2" t="s">
        <v>72</v>
      </c>
      <c r="L605" s="2" t="s">
        <v>1483</v>
      </c>
      <c r="M605" s="2" t="s">
        <v>3586</v>
      </c>
    </row>
    <row r="606" customFormat="false" ht="15" hidden="false" customHeight="false" outlineLevel="0" collapsed="false">
      <c r="A606" s="2" t="s">
        <v>1483</v>
      </c>
      <c r="B606" s="3" t="s">
        <v>3587</v>
      </c>
      <c r="C606" s="2"/>
      <c r="D606" s="2" t="s">
        <v>15</v>
      </c>
      <c r="E606" s="2" t="s">
        <v>16</v>
      </c>
      <c r="F606" s="2" t="s">
        <v>3588</v>
      </c>
      <c r="G606" s="2" t="s">
        <v>3589</v>
      </c>
      <c r="H606" s="2" t="s">
        <v>47</v>
      </c>
      <c r="I606" s="2" t="s">
        <v>799</v>
      </c>
      <c r="J606" s="2" t="s">
        <v>71</v>
      </c>
      <c r="K606" s="2" t="s">
        <v>22</v>
      </c>
      <c r="L606" s="2" t="s">
        <v>3590</v>
      </c>
      <c r="M606" s="2"/>
    </row>
    <row r="607" customFormat="false" ht="23.85" hidden="false" customHeight="false" outlineLevel="0" collapsed="false">
      <c r="A607" s="2" t="s">
        <v>3591</v>
      </c>
      <c r="B607" s="3" t="s">
        <v>3592</v>
      </c>
      <c r="C607" s="2" t="s">
        <v>3593</v>
      </c>
      <c r="D607" s="2" t="s">
        <v>82</v>
      </c>
      <c r="E607" s="2" t="s">
        <v>216</v>
      </c>
      <c r="F607" s="2" t="s">
        <v>3594</v>
      </c>
      <c r="G607" s="2" t="s">
        <v>3595</v>
      </c>
      <c r="H607" s="2" t="s">
        <v>211</v>
      </c>
      <c r="I607" s="2" t="s">
        <v>508</v>
      </c>
      <c r="J607" s="2" t="s">
        <v>71</v>
      </c>
      <c r="K607" s="2" t="s">
        <v>72</v>
      </c>
      <c r="L607" s="2" t="s">
        <v>3596</v>
      </c>
      <c r="M607" s="2"/>
    </row>
    <row r="608" customFormat="false" ht="23.85" hidden="false" customHeight="false" outlineLevel="0" collapsed="false">
      <c r="A608" s="2" t="s">
        <v>3388</v>
      </c>
      <c r="B608" s="3" t="s">
        <v>3597</v>
      </c>
      <c r="C608" s="2" t="s">
        <v>3598</v>
      </c>
      <c r="D608" s="2" t="s">
        <v>15</v>
      </c>
      <c r="E608" s="2" t="s">
        <v>494</v>
      </c>
      <c r="F608" s="2" t="s">
        <v>3599</v>
      </c>
      <c r="G608" s="2" t="s">
        <v>3600</v>
      </c>
      <c r="H608" s="2" t="s">
        <v>47</v>
      </c>
      <c r="I608" s="2" t="s">
        <v>48</v>
      </c>
      <c r="J608" s="2" t="s">
        <v>71</v>
      </c>
      <c r="K608" s="2" t="s">
        <v>72</v>
      </c>
      <c r="L608" s="2" t="s">
        <v>3601</v>
      </c>
      <c r="M608" s="2" t="s">
        <v>3602</v>
      </c>
    </row>
    <row r="609" customFormat="false" ht="15" hidden="false" customHeight="false" outlineLevel="0" collapsed="false">
      <c r="A609" s="2" t="s">
        <v>3603</v>
      </c>
      <c r="B609" s="3" t="s">
        <v>3604</v>
      </c>
      <c r="C609" s="2"/>
      <c r="D609" s="2" t="s">
        <v>15</v>
      </c>
      <c r="E609" s="2" t="s">
        <v>3605</v>
      </c>
      <c r="F609" s="2" t="s">
        <v>3606</v>
      </c>
      <c r="G609" s="2" t="s">
        <v>3607</v>
      </c>
      <c r="H609" s="2" t="s">
        <v>47</v>
      </c>
      <c r="I609" s="2" t="s">
        <v>63</v>
      </c>
      <c r="J609" s="2" t="s">
        <v>71</v>
      </c>
      <c r="K609" s="2" t="s">
        <v>22</v>
      </c>
      <c r="L609" s="2" t="s">
        <v>3608</v>
      </c>
      <c r="M609" s="2"/>
    </row>
    <row r="610" customFormat="false" ht="15" hidden="false" customHeight="false" outlineLevel="0" collapsed="false">
      <c r="A610" s="2" t="s">
        <v>1737</v>
      </c>
      <c r="B610" s="3" t="s">
        <v>3609</v>
      </c>
      <c r="C610" s="2" t="s">
        <v>3610</v>
      </c>
      <c r="D610" s="2" t="s">
        <v>34</v>
      </c>
      <c r="E610" s="2" t="s">
        <v>91</v>
      </c>
      <c r="F610" s="2" t="s">
        <v>3611</v>
      </c>
      <c r="G610" s="2" t="s">
        <v>3612</v>
      </c>
      <c r="H610" s="2" t="s">
        <v>38</v>
      </c>
      <c r="I610" s="2" t="s">
        <v>508</v>
      </c>
      <c r="J610" s="2" t="s">
        <v>86</v>
      </c>
      <c r="K610" s="2" t="s">
        <v>72</v>
      </c>
      <c r="L610" s="2" t="s">
        <v>3613</v>
      </c>
      <c r="M610" s="2" t="s">
        <v>3614</v>
      </c>
    </row>
    <row r="611" customFormat="false" ht="23.85" hidden="false" customHeight="false" outlineLevel="0" collapsed="false">
      <c r="A611" s="2" t="s">
        <v>191</v>
      </c>
      <c r="B611" s="3" t="s">
        <v>3615</v>
      </c>
      <c r="C611" s="2" t="s">
        <v>3616</v>
      </c>
      <c r="D611" s="2" t="s">
        <v>15</v>
      </c>
      <c r="E611" s="2" t="s">
        <v>188</v>
      </c>
      <c r="F611" s="2" t="s">
        <v>3617</v>
      </c>
      <c r="G611" s="2" t="s">
        <v>3618</v>
      </c>
      <c r="H611" s="2" t="s">
        <v>47</v>
      </c>
      <c r="I611" s="2" t="s">
        <v>48</v>
      </c>
      <c r="J611" s="2" t="s">
        <v>71</v>
      </c>
      <c r="K611" s="2" t="s">
        <v>22</v>
      </c>
      <c r="L611" s="2" t="s">
        <v>3619</v>
      </c>
      <c r="M611" s="2" t="s">
        <v>3620</v>
      </c>
    </row>
    <row r="612" customFormat="false" ht="15" hidden="false" customHeight="false" outlineLevel="0" collapsed="false">
      <c r="A612" s="2" t="s">
        <v>3621</v>
      </c>
      <c r="B612" s="3" t="s">
        <v>3622</v>
      </c>
      <c r="C612" s="2" t="s">
        <v>3623</v>
      </c>
      <c r="D612" s="2" t="s">
        <v>34</v>
      </c>
      <c r="E612" s="2" t="s">
        <v>35</v>
      </c>
      <c r="F612" s="2" t="s">
        <v>3624</v>
      </c>
      <c r="G612" s="2" t="s">
        <v>3625</v>
      </c>
      <c r="H612" s="2" t="s">
        <v>1218</v>
      </c>
      <c r="I612" s="2" t="s">
        <v>94</v>
      </c>
      <c r="J612" s="2" t="s">
        <v>86</v>
      </c>
      <c r="K612" s="2" t="s">
        <v>72</v>
      </c>
      <c r="L612" s="2" t="s">
        <v>3626</v>
      </c>
      <c r="M612" s="2"/>
    </row>
    <row r="613" customFormat="false" ht="23.85" hidden="false" customHeight="false" outlineLevel="0" collapsed="false">
      <c r="A613" s="2" t="s">
        <v>2403</v>
      </c>
      <c r="B613" s="3" t="s">
        <v>3627</v>
      </c>
      <c r="C613" s="2" t="s">
        <v>3628</v>
      </c>
      <c r="D613" s="2" t="s">
        <v>179</v>
      </c>
      <c r="E613" s="2" t="s">
        <v>53</v>
      </c>
      <c r="F613" s="2" t="s">
        <v>3629</v>
      </c>
      <c r="G613" s="2" t="s">
        <v>3630</v>
      </c>
      <c r="H613" s="2"/>
      <c r="I613" s="2" t="s">
        <v>20</v>
      </c>
      <c r="J613" s="2" t="s">
        <v>71</v>
      </c>
      <c r="K613" s="2" t="s">
        <v>72</v>
      </c>
      <c r="L613" s="2" t="s">
        <v>3631</v>
      </c>
      <c r="M613" s="2"/>
    </row>
    <row r="614" customFormat="false" ht="23.85" hidden="false" customHeight="false" outlineLevel="0" collapsed="false">
      <c r="A614" s="2" t="s">
        <v>3537</v>
      </c>
      <c r="B614" s="3" t="s">
        <v>3632</v>
      </c>
      <c r="C614" s="2" t="s">
        <v>3633</v>
      </c>
      <c r="D614" s="2" t="s">
        <v>238</v>
      </c>
      <c r="E614" s="2" t="s">
        <v>53</v>
      </c>
      <c r="F614" s="2" t="s">
        <v>3634</v>
      </c>
      <c r="G614" s="2" t="s">
        <v>3635</v>
      </c>
      <c r="H614" s="2" t="s">
        <v>241</v>
      </c>
      <c r="I614" s="2" t="s">
        <v>78</v>
      </c>
      <c r="J614" s="2" t="s">
        <v>86</v>
      </c>
      <c r="K614" s="2" t="s">
        <v>72</v>
      </c>
      <c r="L614" s="2" t="s">
        <v>3636</v>
      </c>
      <c r="M614" s="2"/>
    </row>
    <row r="615" customFormat="false" ht="23.85" hidden="false" customHeight="false" outlineLevel="0" collapsed="false">
      <c r="A615" s="2" t="s">
        <v>3637</v>
      </c>
      <c r="B615" s="3" t="s">
        <v>3638</v>
      </c>
      <c r="C615" s="2" t="s">
        <v>3639</v>
      </c>
      <c r="D615" s="2" t="s">
        <v>43</v>
      </c>
      <c r="E615" s="2" t="s">
        <v>741</v>
      </c>
      <c r="F615" s="2" t="s">
        <v>3640</v>
      </c>
      <c r="G615" s="2" t="s">
        <v>3641</v>
      </c>
      <c r="H615" s="2" t="s">
        <v>3642</v>
      </c>
      <c r="I615" s="2" t="s">
        <v>29</v>
      </c>
      <c r="J615" s="2" t="s">
        <v>71</v>
      </c>
      <c r="K615" s="2" t="s">
        <v>72</v>
      </c>
      <c r="L615" s="2" t="s">
        <v>3643</v>
      </c>
      <c r="M615" s="2"/>
    </row>
    <row r="616" customFormat="false" ht="23.85" hidden="false" customHeight="false" outlineLevel="0" collapsed="false">
      <c r="A616" s="2" t="s">
        <v>3644</v>
      </c>
      <c r="B616" s="3" t="s">
        <v>3645</v>
      </c>
      <c r="C616" s="2" t="s">
        <v>3646</v>
      </c>
      <c r="D616" s="2" t="s">
        <v>82</v>
      </c>
      <c r="E616" s="2" t="s">
        <v>53</v>
      </c>
      <c r="F616" s="2" t="s">
        <v>3647</v>
      </c>
      <c r="G616" s="2" t="s">
        <v>3648</v>
      </c>
      <c r="H616" s="2" t="s">
        <v>329</v>
      </c>
      <c r="I616" s="2" t="s">
        <v>508</v>
      </c>
      <c r="J616" s="2" t="s">
        <v>86</v>
      </c>
      <c r="K616" s="2" t="s">
        <v>87</v>
      </c>
      <c r="L616" s="2" t="s">
        <v>3649</v>
      </c>
      <c r="M616" s="2"/>
    </row>
    <row r="617" customFormat="false" ht="23.85" hidden="false" customHeight="false" outlineLevel="0" collapsed="false">
      <c r="A617" s="2" t="s">
        <v>3650</v>
      </c>
      <c r="B617" s="3" t="s">
        <v>3651</v>
      </c>
      <c r="C617" s="2" t="s">
        <v>3652</v>
      </c>
      <c r="D617" s="2" t="s">
        <v>82</v>
      </c>
      <c r="E617" s="2" t="s">
        <v>561</v>
      </c>
      <c r="F617" s="2" t="s">
        <v>3653</v>
      </c>
      <c r="G617" s="2" t="s">
        <v>3654</v>
      </c>
      <c r="H617" s="2" t="s">
        <v>47</v>
      </c>
      <c r="I617" s="2" t="s">
        <v>20</v>
      </c>
      <c r="J617" s="2" t="s">
        <v>86</v>
      </c>
      <c r="K617" s="2" t="s">
        <v>72</v>
      </c>
      <c r="L617" s="2" t="s">
        <v>3655</v>
      </c>
      <c r="M617" s="2"/>
    </row>
    <row r="618" customFormat="false" ht="15" hidden="false" customHeight="false" outlineLevel="0" collapsed="false">
      <c r="A618" s="2" t="s">
        <v>3656</v>
      </c>
      <c r="B618" s="3" t="s">
        <v>3657</v>
      </c>
      <c r="C618" s="2"/>
      <c r="D618" s="2" t="s">
        <v>15</v>
      </c>
      <c r="E618" s="2" t="s">
        <v>99</v>
      </c>
      <c r="F618" s="2" t="s">
        <v>3658</v>
      </c>
      <c r="G618" s="2" t="s">
        <v>3659</v>
      </c>
      <c r="H618" s="2" t="s">
        <v>47</v>
      </c>
      <c r="I618" s="2" t="s">
        <v>94</v>
      </c>
      <c r="J618" s="2" t="s">
        <v>71</v>
      </c>
      <c r="K618" s="2" t="s">
        <v>72</v>
      </c>
      <c r="L618" s="2" t="s">
        <v>3660</v>
      </c>
      <c r="M618" s="2"/>
    </row>
    <row r="619" customFormat="false" ht="23.85" hidden="false" customHeight="false" outlineLevel="0" collapsed="false">
      <c r="A619" s="2" t="s">
        <v>2216</v>
      </c>
      <c r="B619" s="3" t="s">
        <v>3661</v>
      </c>
      <c r="C619" s="2" t="s">
        <v>3662</v>
      </c>
      <c r="D619" s="2" t="s">
        <v>15</v>
      </c>
      <c r="E619" s="2" t="s">
        <v>789</v>
      </c>
      <c r="F619" s="2" t="s">
        <v>3663</v>
      </c>
      <c r="G619" s="2" t="s">
        <v>3664</v>
      </c>
      <c r="H619" s="2" t="s">
        <v>47</v>
      </c>
      <c r="I619" s="2" t="s">
        <v>20</v>
      </c>
      <c r="J619" s="2" t="s">
        <v>71</v>
      </c>
      <c r="K619" s="2" t="s">
        <v>72</v>
      </c>
      <c r="L619" s="2" t="s">
        <v>3665</v>
      </c>
      <c r="M619" s="2" t="s">
        <v>3666</v>
      </c>
    </row>
    <row r="620" customFormat="false" ht="23.85" hidden="false" customHeight="false" outlineLevel="0" collapsed="false">
      <c r="A620" s="2" t="s">
        <v>3667</v>
      </c>
      <c r="B620" s="3" t="s">
        <v>3668</v>
      </c>
      <c r="C620" s="2" t="s">
        <v>3669</v>
      </c>
      <c r="D620" s="2" t="s">
        <v>238</v>
      </c>
      <c r="E620" s="2" t="s">
        <v>53</v>
      </c>
      <c r="F620" s="2" t="s">
        <v>3670</v>
      </c>
      <c r="G620" s="2" t="s">
        <v>3671</v>
      </c>
      <c r="H620" s="2" t="s">
        <v>3672</v>
      </c>
      <c r="I620" s="2" t="s">
        <v>29</v>
      </c>
      <c r="J620" s="2" t="s">
        <v>71</v>
      </c>
      <c r="K620" s="2" t="s">
        <v>22</v>
      </c>
      <c r="L620" s="2" t="s">
        <v>3673</v>
      </c>
      <c r="M620" s="2"/>
    </row>
    <row r="621" customFormat="false" ht="23.85" hidden="false" customHeight="false" outlineLevel="0" collapsed="false">
      <c r="A621" s="2" t="s">
        <v>3674</v>
      </c>
      <c r="B621" s="3" t="s">
        <v>3675</v>
      </c>
      <c r="C621" s="2" t="s">
        <v>3676</v>
      </c>
      <c r="D621" s="2" t="s">
        <v>238</v>
      </c>
      <c r="E621" s="2" t="s">
        <v>535</v>
      </c>
      <c r="F621" s="2" t="s">
        <v>3677</v>
      </c>
      <c r="G621" s="2" t="s">
        <v>3678</v>
      </c>
      <c r="H621" s="2" t="s">
        <v>3253</v>
      </c>
      <c r="I621" s="2" t="s">
        <v>78</v>
      </c>
      <c r="J621" s="2" t="s">
        <v>71</v>
      </c>
      <c r="K621" s="2" t="s">
        <v>72</v>
      </c>
      <c r="L621" s="2" t="s">
        <v>3679</v>
      </c>
      <c r="M621" s="2" t="s">
        <v>3680</v>
      </c>
    </row>
    <row r="622" customFormat="false" ht="15" hidden="false" customHeight="false" outlineLevel="0" collapsed="false">
      <c r="A622" s="2" t="s">
        <v>3681</v>
      </c>
      <c r="B622" s="3" t="s">
        <v>3682</v>
      </c>
      <c r="C622" s="2"/>
      <c r="D622" s="2" t="s">
        <v>52</v>
      </c>
      <c r="E622" s="2" t="s">
        <v>684</v>
      </c>
      <c r="F622" s="2" t="s">
        <v>3683</v>
      </c>
      <c r="G622" s="2" t="s">
        <v>3684</v>
      </c>
      <c r="H622" s="2" t="s">
        <v>1538</v>
      </c>
      <c r="I622" s="2" t="s">
        <v>48</v>
      </c>
      <c r="J622" s="2" t="s">
        <v>71</v>
      </c>
      <c r="K622" s="2" t="s">
        <v>87</v>
      </c>
      <c r="L622" s="2" t="s">
        <v>3685</v>
      </c>
      <c r="M622" s="2"/>
    </row>
    <row r="623" customFormat="false" ht="23.85" hidden="false" customHeight="false" outlineLevel="0" collapsed="false">
      <c r="A623" s="2" t="s">
        <v>3686</v>
      </c>
      <c r="B623" s="3" t="s">
        <v>3687</v>
      </c>
      <c r="C623" s="2" t="s">
        <v>3688</v>
      </c>
      <c r="D623" s="2" t="s">
        <v>106</v>
      </c>
      <c r="E623" s="2" t="s">
        <v>400</v>
      </c>
      <c r="F623" s="2" t="s">
        <v>3689</v>
      </c>
      <c r="G623" s="2" t="s">
        <v>3690</v>
      </c>
      <c r="H623" s="2" t="s">
        <v>110</v>
      </c>
      <c r="I623" s="2" t="s">
        <v>78</v>
      </c>
      <c r="J623" s="2" t="s">
        <v>21</v>
      </c>
      <c r="K623" s="2" t="s">
        <v>22</v>
      </c>
      <c r="L623" s="2" t="s">
        <v>3691</v>
      </c>
      <c r="M623" s="2"/>
    </row>
    <row r="624" customFormat="false" ht="15" hidden="false" customHeight="false" outlineLevel="0" collapsed="false">
      <c r="A624" s="2" t="s">
        <v>3692</v>
      </c>
      <c r="B624" s="3" t="s">
        <v>3693</v>
      </c>
      <c r="C624" s="2" t="s">
        <v>3694</v>
      </c>
      <c r="D624" s="2" t="s">
        <v>106</v>
      </c>
      <c r="E624" s="2" t="s">
        <v>53</v>
      </c>
      <c r="F624" s="2" t="s">
        <v>3695</v>
      </c>
      <c r="G624" s="2" t="s">
        <v>3696</v>
      </c>
      <c r="H624" s="2" t="s">
        <v>110</v>
      </c>
      <c r="I624" s="2" t="s">
        <v>111</v>
      </c>
      <c r="J624" s="2" t="s">
        <v>21</v>
      </c>
      <c r="K624" s="2" t="s">
        <v>72</v>
      </c>
      <c r="L624" s="2" t="s">
        <v>3697</v>
      </c>
      <c r="M624" s="2"/>
    </row>
    <row r="625" customFormat="false" ht="23.85" hidden="false" customHeight="false" outlineLevel="0" collapsed="false">
      <c r="A625" s="2" t="s">
        <v>3698</v>
      </c>
      <c r="B625" s="3" t="s">
        <v>3699</v>
      </c>
      <c r="C625" s="2"/>
      <c r="D625" s="2" t="s">
        <v>238</v>
      </c>
      <c r="E625" s="2" t="s">
        <v>99</v>
      </c>
      <c r="F625" s="2" t="s">
        <v>3700</v>
      </c>
      <c r="G625" s="2" t="s">
        <v>3701</v>
      </c>
      <c r="H625" s="2" t="s">
        <v>241</v>
      </c>
      <c r="I625" s="2" t="s">
        <v>111</v>
      </c>
      <c r="J625" s="2" t="s">
        <v>21</v>
      </c>
      <c r="K625" s="2" t="s">
        <v>22</v>
      </c>
      <c r="L625" s="2" t="s">
        <v>3702</v>
      </c>
      <c r="M625" s="2" t="s">
        <v>3703</v>
      </c>
    </row>
    <row r="626" customFormat="false" ht="15" hidden="false" customHeight="false" outlineLevel="0" collapsed="false">
      <c r="A626" s="2" t="s">
        <v>3704</v>
      </c>
      <c r="B626" s="3" t="s">
        <v>3705</v>
      </c>
      <c r="C626" s="2" t="s">
        <v>3706</v>
      </c>
      <c r="D626" s="2" t="s">
        <v>82</v>
      </c>
      <c r="E626" s="2" t="s">
        <v>591</v>
      </c>
      <c r="F626" s="2" t="s">
        <v>3707</v>
      </c>
      <c r="G626" s="2" t="s">
        <v>3708</v>
      </c>
      <c r="H626" s="2" t="s">
        <v>47</v>
      </c>
      <c r="I626" s="2" t="s">
        <v>63</v>
      </c>
      <c r="J626" s="2" t="s">
        <v>71</v>
      </c>
      <c r="K626" s="2" t="s">
        <v>72</v>
      </c>
      <c r="L626" s="2" t="s">
        <v>724</v>
      </c>
      <c r="M626" s="2"/>
    </row>
    <row r="627" customFormat="false" ht="23.85" hidden="false" customHeight="false" outlineLevel="0" collapsed="false">
      <c r="A627" s="2" t="s">
        <v>3709</v>
      </c>
      <c r="B627" s="3" t="s">
        <v>3710</v>
      </c>
      <c r="C627" s="2"/>
      <c r="D627" s="2" t="s">
        <v>223</v>
      </c>
      <c r="E627" s="2" t="s">
        <v>53</v>
      </c>
      <c r="F627" s="2" t="s">
        <v>3711</v>
      </c>
      <c r="G627" s="2" t="s">
        <v>3712</v>
      </c>
      <c r="H627" s="2" t="s">
        <v>3713</v>
      </c>
      <c r="I627" s="2" t="s">
        <v>78</v>
      </c>
      <c r="J627" s="2" t="s">
        <v>86</v>
      </c>
      <c r="K627" s="2" t="s">
        <v>87</v>
      </c>
      <c r="L627" s="2" t="s">
        <v>3714</v>
      </c>
      <c r="M627" s="2"/>
    </row>
    <row r="628" customFormat="false" ht="15" hidden="false" customHeight="false" outlineLevel="0" collapsed="false">
      <c r="A628" s="2" t="s">
        <v>3715</v>
      </c>
      <c r="B628" s="3" t="s">
        <v>3716</v>
      </c>
      <c r="C628" s="2"/>
      <c r="D628" s="2" t="s">
        <v>82</v>
      </c>
      <c r="E628" s="2" t="s">
        <v>91</v>
      </c>
      <c r="F628" s="2" t="s">
        <v>3717</v>
      </c>
      <c r="G628" s="2" t="s">
        <v>3718</v>
      </c>
      <c r="H628" s="2" t="s">
        <v>47</v>
      </c>
      <c r="I628" s="2" t="s">
        <v>799</v>
      </c>
      <c r="J628" s="2" t="s">
        <v>86</v>
      </c>
      <c r="K628" s="2" t="s">
        <v>22</v>
      </c>
      <c r="L628" s="2" t="s">
        <v>3719</v>
      </c>
      <c r="M628" s="2"/>
    </row>
    <row r="629" customFormat="false" ht="15" hidden="false" customHeight="false" outlineLevel="0" collapsed="false">
      <c r="A629" s="2" t="s">
        <v>3720</v>
      </c>
      <c r="B629" s="3" t="s">
        <v>3721</v>
      </c>
      <c r="C629" s="2" t="s">
        <v>3722</v>
      </c>
      <c r="D629" s="2" t="s">
        <v>238</v>
      </c>
      <c r="E629" s="2" t="s">
        <v>53</v>
      </c>
      <c r="F629" s="2" t="s">
        <v>3723</v>
      </c>
      <c r="G629" s="2" t="s">
        <v>3724</v>
      </c>
      <c r="H629" s="2" t="s">
        <v>241</v>
      </c>
      <c r="I629" s="2" t="s">
        <v>29</v>
      </c>
      <c r="J629" s="2" t="s">
        <v>71</v>
      </c>
      <c r="K629" s="2" t="s">
        <v>22</v>
      </c>
      <c r="L629" s="2" t="s">
        <v>3725</v>
      </c>
      <c r="M629" s="2"/>
    </row>
    <row r="630" customFormat="false" ht="23.85" hidden="false" customHeight="false" outlineLevel="0" collapsed="false">
      <c r="A630" s="2" t="s">
        <v>3726</v>
      </c>
      <c r="B630" s="3" t="s">
        <v>3727</v>
      </c>
      <c r="C630" s="2"/>
      <c r="D630" s="2" t="s">
        <v>238</v>
      </c>
      <c r="E630" s="2" t="s">
        <v>99</v>
      </c>
      <c r="F630" s="2" t="s">
        <v>3728</v>
      </c>
      <c r="G630" s="2" t="s">
        <v>3729</v>
      </c>
      <c r="H630" s="2" t="s">
        <v>241</v>
      </c>
      <c r="I630" s="2" t="s">
        <v>119</v>
      </c>
      <c r="J630" s="2" t="s">
        <v>71</v>
      </c>
      <c r="K630" s="2" t="s">
        <v>72</v>
      </c>
      <c r="L630" s="2" t="s">
        <v>3730</v>
      </c>
      <c r="M630" s="2" t="s">
        <v>3731</v>
      </c>
    </row>
    <row r="631" customFormat="false" ht="23.85" hidden="false" customHeight="false" outlineLevel="0" collapsed="false">
      <c r="A631" s="2" t="s">
        <v>3732</v>
      </c>
      <c r="B631" s="3" t="s">
        <v>3733</v>
      </c>
      <c r="C631" s="2"/>
      <c r="D631" s="2" t="s">
        <v>15</v>
      </c>
      <c r="E631" s="2" t="s">
        <v>91</v>
      </c>
      <c r="F631" s="2" t="s">
        <v>3734</v>
      </c>
      <c r="G631" s="2" t="s">
        <v>3735</v>
      </c>
      <c r="H631" s="2" t="s">
        <v>47</v>
      </c>
      <c r="I631" s="2" t="s">
        <v>20</v>
      </c>
      <c r="J631" s="2" t="s">
        <v>71</v>
      </c>
      <c r="K631" s="2" t="s">
        <v>72</v>
      </c>
      <c r="L631" s="2" t="s">
        <v>3736</v>
      </c>
      <c r="M631" s="2" t="s">
        <v>3737</v>
      </c>
    </row>
    <row r="632" customFormat="false" ht="23.85" hidden="false" customHeight="false" outlineLevel="0" collapsed="false">
      <c r="A632" s="2" t="s">
        <v>3738</v>
      </c>
      <c r="B632" s="3" t="s">
        <v>3739</v>
      </c>
      <c r="C632" s="2" t="s">
        <v>3740</v>
      </c>
      <c r="D632" s="2" t="s">
        <v>15</v>
      </c>
      <c r="E632" s="2" t="s">
        <v>16</v>
      </c>
      <c r="F632" s="2" t="s">
        <v>3741</v>
      </c>
      <c r="G632" s="2" t="s">
        <v>3742</v>
      </c>
      <c r="H632" s="2" t="s">
        <v>47</v>
      </c>
      <c r="I632" s="2" t="s">
        <v>29</v>
      </c>
      <c r="J632" s="2" t="s">
        <v>21</v>
      </c>
      <c r="K632" s="2" t="s">
        <v>22</v>
      </c>
      <c r="L632" s="2" t="s">
        <v>2570</v>
      </c>
      <c r="M632" s="2"/>
    </row>
    <row r="633" customFormat="false" ht="23.85" hidden="false" customHeight="false" outlineLevel="0" collapsed="false">
      <c r="A633" s="2" t="s">
        <v>3743</v>
      </c>
      <c r="B633" s="3" t="s">
        <v>3744</v>
      </c>
      <c r="C633" s="2" t="s">
        <v>3745</v>
      </c>
      <c r="D633" s="2" t="s">
        <v>238</v>
      </c>
      <c r="E633" s="2" t="s">
        <v>53</v>
      </c>
      <c r="F633" s="2" t="s">
        <v>3746</v>
      </c>
      <c r="G633" s="2" t="s">
        <v>3747</v>
      </c>
      <c r="H633" s="2" t="s">
        <v>241</v>
      </c>
      <c r="I633" s="2" t="s">
        <v>182</v>
      </c>
      <c r="J633" s="2" t="s">
        <v>71</v>
      </c>
      <c r="K633" s="2" t="s">
        <v>72</v>
      </c>
      <c r="L633" s="2" t="s">
        <v>3748</v>
      </c>
      <c r="M633" s="2" t="s">
        <v>3749</v>
      </c>
    </row>
    <row r="634" customFormat="false" ht="23.85" hidden="false" customHeight="false" outlineLevel="0" collapsed="false">
      <c r="A634" s="2" t="s">
        <v>3750</v>
      </c>
      <c r="B634" s="3" t="s">
        <v>3751</v>
      </c>
      <c r="C634" s="2"/>
      <c r="D634" s="2" t="s">
        <v>251</v>
      </c>
      <c r="E634" s="2" t="s">
        <v>251</v>
      </c>
      <c r="F634" s="2" t="s">
        <v>3752</v>
      </c>
      <c r="G634" s="2" t="s">
        <v>3753</v>
      </c>
      <c r="H634" s="2" t="s">
        <v>255</v>
      </c>
      <c r="I634" s="2" t="s">
        <v>48</v>
      </c>
      <c r="J634" s="2" t="s">
        <v>71</v>
      </c>
      <c r="K634" s="2" t="s">
        <v>22</v>
      </c>
      <c r="L634" s="2" t="s">
        <v>3754</v>
      </c>
      <c r="M634" s="2"/>
    </row>
    <row r="635" customFormat="false" ht="15" hidden="false" customHeight="false" outlineLevel="0" collapsed="false">
      <c r="A635" s="2" t="s">
        <v>2054</v>
      </c>
      <c r="B635" s="3" t="s">
        <v>3755</v>
      </c>
      <c r="C635" s="2"/>
      <c r="D635" s="2" t="s">
        <v>15</v>
      </c>
      <c r="E635" s="2" t="s">
        <v>16</v>
      </c>
      <c r="F635" s="2" t="s">
        <v>3756</v>
      </c>
      <c r="G635" s="2" t="s">
        <v>3757</v>
      </c>
      <c r="H635" s="2" t="s">
        <v>47</v>
      </c>
      <c r="I635" s="2" t="s">
        <v>94</v>
      </c>
      <c r="J635" s="2" t="s">
        <v>71</v>
      </c>
      <c r="K635" s="2" t="s">
        <v>72</v>
      </c>
      <c r="L635" s="2" t="s">
        <v>3758</v>
      </c>
      <c r="M635" s="2"/>
    </row>
    <row r="636" customFormat="false" ht="23.85" hidden="false" customHeight="false" outlineLevel="0" collapsed="false">
      <c r="A636" s="2" t="s">
        <v>3759</v>
      </c>
      <c r="B636" s="3" t="s">
        <v>3760</v>
      </c>
      <c r="C636" s="2"/>
      <c r="D636" s="2" t="s">
        <v>223</v>
      </c>
      <c r="E636" s="2" t="s">
        <v>53</v>
      </c>
      <c r="F636" s="2" t="s">
        <v>3761</v>
      </c>
      <c r="G636" s="2" t="s">
        <v>3762</v>
      </c>
      <c r="H636" s="2" t="s">
        <v>1268</v>
      </c>
      <c r="I636" s="2" t="s">
        <v>182</v>
      </c>
      <c r="J636" s="2" t="s">
        <v>86</v>
      </c>
      <c r="K636" s="2" t="s">
        <v>87</v>
      </c>
      <c r="L636" s="2" t="s">
        <v>3763</v>
      </c>
      <c r="M636" s="2" t="s">
        <v>3764</v>
      </c>
    </row>
    <row r="637" customFormat="false" ht="23.85" hidden="false" customHeight="false" outlineLevel="0" collapsed="false">
      <c r="A637" s="2" t="s">
        <v>2128</v>
      </c>
      <c r="B637" s="3" t="s">
        <v>3765</v>
      </c>
      <c r="C637" s="2"/>
      <c r="D637" s="2" t="s">
        <v>15</v>
      </c>
      <c r="E637" s="2" t="s">
        <v>16</v>
      </c>
      <c r="F637" s="2" t="s">
        <v>3766</v>
      </c>
      <c r="G637" s="2" t="s">
        <v>3767</v>
      </c>
      <c r="H637" s="2" t="s">
        <v>47</v>
      </c>
      <c r="I637" s="2" t="s">
        <v>508</v>
      </c>
      <c r="J637" s="2" t="s">
        <v>71</v>
      </c>
      <c r="K637" s="2" t="s">
        <v>22</v>
      </c>
      <c r="L637" s="2" t="s">
        <v>3768</v>
      </c>
      <c r="M637" s="2" t="s">
        <v>3769</v>
      </c>
    </row>
    <row r="638" customFormat="false" ht="23.85" hidden="false" customHeight="false" outlineLevel="0" collapsed="false">
      <c r="A638" s="2" t="s">
        <v>3770</v>
      </c>
      <c r="B638" s="3" t="s">
        <v>3771</v>
      </c>
      <c r="C638" s="2" t="s">
        <v>3772</v>
      </c>
      <c r="D638" s="2" t="s">
        <v>82</v>
      </c>
      <c r="E638" s="2" t="s">
        <v>591</v>
      </c>
      <c r="F638" s="2" t="s">
        <v>3773</v>
      </c>
      <c r="G638" s="2" t="s">
        <v>3774</v>
      </c>
      <c r="H638" s="2" t="s">
        <v>47</v>
      </c>
      <c r="I638" s="2" t="s">
        <v>63</v>
      </c>
      <c r="J638" s="2" t="s">
        <v>21</v>
      </c>
      <c r="K638" s="2" t="s">
        <v>22</v>
      </c>
      <c r="L638" s="2" t="s">
        <v>3775</v>
      </c>
      <c r="M638" s="2"/>
    </row>
    <row r="639" customFormat="false" ht="15" hidden="false" customHeight="false" outlineLevel="0" collapsed="false">
      <c r="A639" s="2" t="s">
        <v>3776</v>
      </c>
      <c r="B639" s="3" t="s">
        <v>3777</v>
      </c>
      <c r="C639" s="2"/>
      <c r="D639" s="2" t="s">
        <v>223</v>
      </c>
      <c r="E639" s="2" t="s">
        <v>53</v>
      </c>
      <c r="F639" s="2" t="s">
        <v>3778</v>
      </c>
      <c r="G639" s="2" t="s">
        <v>3779</v>
      </c>
      <c r="H639" s="2" t="s">
        <v>3780</v>
      </c>
      <c r="I639" s="2" t="s">
        <v>508</v>
      </c>
      <c r="J639" s="2" t="s">
        <v>86</v>
      </c>
      <c r="K639" s="2" t="s">
        <v>72</v>
      </c>
      <c r="L639" s="2" t="s">
        <v>3781</v>
      </c>
      <c r="M639" s="2" t="s">
        <v>3782</v>
      </c>
    </row>
    <row r="640" customFormat="false" ht="15" hidden="false" customHeight="false" outlineLevel="0" collapsed="false">
      <c r="A640" s="2" t="s">
        <v>3783</v>
      </c>
      <c r="B640" s="3" t="s">
        <v>3784</v>
      </c>
      <c r="C640" s="2" t="s">
        <v>3785</v>
      </c>
      <c r="D640" s="2" t="s">
        <v>59</v>
      </c>
      <c r="E640" s="2" t="s">
        <v>53</v>
      </c>
      <c r="F640" s="2" t="s">
        <v>3786</v>
      </c>
      <c r="G640" s="2" t="s">
        <v>3787</v>
      </c>
      <c r="H640" s="2" t="s">
        <v>1538</v>
      </c>
      <c r="I640" s="2" t="s">
        <v>508</v>
      </c>
      <c r="J640" s="2" t="s">
        <v>86</v>
      </c>
      <c r="K640" s="2" t="s">
        <v>87</v>
      </c>
      <c r="L640" s="2" t="s">
        <v>3788</v>
      </c>
      <c r="M640" s="2"/>
    </row>
    <row r="641" customFormat="false" ht="15" hidden="false" customHeight="false" outlineLevel="0" collapsed="false">
      <c r="A641" s="2" t="s">
        <v>3789</v>
      </c>
      <c r="B641" s="3" t="s">
        <v>3790</v>
      </c>
      <c r="C641" s="2" t="s">
        <v>3791</v>
      </c>
      <c r="D641" s="2" t="s">
        <v>82</v>
      </c>
      <c r="E641" s="2" t="s">
        <v>53</v>
      </c>
      <c r="F641" s="2" t="s">
        <v>3792</v>
      </c>
      <c r="G641" s="2" t="s">
        <v>3793</v>
      </c>
      <c r="H641" s="2" t="s">
        <v>47</v>
      </c>
      <c r="I641" s="2" t="s">
        <v>63</v>
      </c>
      <c r="J641" s="2" t="s">
        <v>71</v>
      </c>
      <c r="K641" s="2" t="s">
        <v>22</v>
      </c>
      <c r="L641" s="2" t="s">
        <v>2045</v>
      </c>
      <c r="M641" s="2" t="s">
        <v>3794</v>
      </c>
    </row>
    <row r="642" customFormat="false" ht="15" hidden="false" customHeight="false" outlineLevel="0" collapsed="false">
      <c r="A642" s="2" t="s">
        <v>3795</v>
      </c>
      <c r="B642" s="3" t="s">
        <v>3796</v>
      </c>
      <c r="C642" s="2"/>
      <c r="D642" s="2" t="s">
        <v>15</v>
      </c>
      <c r="E642" s="2" t="s">
        <v>591</v>
      </c>
      <c r="F642" s="2" t="s">
        <v>3797</v>
      </c>
      <c r="G642" s="2" t="s">
        <v>3798</v>
      </c>
      <c r="H642" s="2" t="s">
        <v>47</v>
      </c>
      <c r="I642" s="2" t="s">
        <v>63</v>
      </c>
      <c r="J642" s="2" t="s">
        <v>71</v>
      </c>
      <c r="K642" s="2" t="s">
        <v>72</v>
      </c>
      <c r="L642" s="2" t="s">
        <v>3799</v>
      </c>
      <c r="M642" s="2"/>
    </row>
    <row r="643" customFormat="false" ht="15" hidden="false" customHeight="false" outlineLevel="0" collapsed="false">
      <c r="A643" s="2" t="s">
        <v>3800</v>
      </c>
      <c r="B643" s="3" t="s">
        <v>3801</v>
      </c>
      <c r="C643" s="2"/>
      <c r="D643" s="2" t="s">
        <v>34</v>
      </c>
      <c r="E643" s="2" t="s">
        <v>266</v>
      </c>
      <c r="F643" s="2" t="s">
        <v>3802</v>
      </c>
      <c r="G643" s="2" t="s">
        <v>3803</v>
      </c>
      <c r="H643" s="2" t="s">
        <v>3642</v>
      </c>
      <c r="I643" s="2" t="s">
        <v>29</v>
      </c>
      <c r="J643" s="2" t="s">
        <v>86</v>
      </c>
      <c r="K643" s="2" t="s">
        <v>72</v>
      </c>
      <c r="L643" s="2" t="s">
        <v>3804</v>
      </c>
      <c r="M643" s="2"/>
    </row>
    <row r="644" customFormat="false" ht="23.85" hidden="false" customHeight="false" outlineLevel="0" collapsed="false">
      <c r="A644" s="2" t="s">
        <v>3805</v>
      </c>
      <c r="B644" s="3" t="s">
        <v>3806</v>
      </c>
      <c r="C644" s="2"/>
      <c r="D644" s="2" t="s">
        <v>82</v>
      </c>
      <c r="E644" s="2" t="s">
        <v>208</v>
      </c>
      <c r="F644" s="2" t="s">
        <v>3807</v>
      </c>
      <c r="G644" s="2" t="s">
        <v>3808</v>
      </c>
      <c r="H644" s="2" t="s">
        <v>47</v>
      </c>
      <c r="I644" s="2" t="s">
        <v>48</v>
      </c>
      <c r="J644" s="2" t="s">
        <v>71</v>
      </c>
      <c r="K644" s="2" t="s">
        <v>87</v>
      </c>
      <c r="L644" s="2" t="s">
        <v>3809</v>
      </c>
      <c r="M644" s="2"/>
    </row>
    <row r="645" customFormat="false" ht="23.85" hidden="false" customHeight="false" outlineLevel="0" collapsed="false">
      <c r="A645" s="2" t="s">
        <v>3810</v>
      </c>
      <c r="B645" s="3" t="s">
        <v>3811</v>
      </c>
      <c r="C645" s="2"/>
      <c r="D645" s="2" t="s">
        <v>82</v>
      </c>
      <c r="E645" s="2" t="s">
        <v>535</v>
      </c>
      <c r="F645" s="2" t="s">
        <v>3812</v>
      </c>
      <c r="G645" s="2" t="s">
        <v>3813</v>
      </c>
      <c r="H645" s="2" t="s">
        <v>47</v>
      </c>
      <c r="I645" s="2" t="s">
        <v>78</v>
      </c>
      <c r="J645" s="2" t="s">
        <v>71</v>
      </c>
      <c r="K645" s="2" t="s">
        <v>72</v>
      </c>
      <c r="L645" s="2" t="s">
        <v>3814</v>
      </c>
      <c r="M645" s="2"/>
    </row>
    <row r="646" customFormat="false" ht="15" hidden="false" customHeight="false" outlineLevel="0" collapsed="false">
      <c r="A646" s="2" t="s">
        <v>3815</v>
      </c>
      <c r="B646" s="3" t="s">
        <v>3816</v>
      </c>
      <c r="C646" s="2" t="s">
        <v>3817</v>
      </c>
      <c r="D646" s="2" t="s">
        <v>15</v>
      </c>
      <c r="E646" s="2" t="s">
        <v>60</v>
      </c>
      <c r="F646" s="2" t="s">
        <v>3818</v>
      </c>
      <c r="G646" s="2" t="s">
        <v>3819</v>
      </c>
      <c r="H646" s="2" t="s">
        <v>47</v>
      </c>
      <c r="I646" s="2" t="s">
        <v>48</v>
      </c>
      <c r="J646" s="2" t="s">
        <v>71</v>
      </c>
      <c r="K646" s="2" t="s">
        <v>22</v>
      </c>
      <c r="L646" s="2" t="s">
        <v>3820</v>
      </c>
      <c r="M646" s="2"/>
    </row>
    <row r="647" customFormat="false" ht="23.85" hidden="false" customHeight="false" outlineLevel="0" collapsed="false">
      <c r="A647" s="2" t="s">
        <v>3821</v>
      </c>
      <c r="B647" s="3" t="s">
        <v>3822</v>
      </c>
      <c r="C647" s="2" t="s">
        <v>3823</v>
      </c>
      <c r="D647" s="2" t="s">
        <v>238</v>
      </c>
      <c r="E647" s="2" t="s">
        <v>53</v>
      </c>
      <c r="F647" s="2" t="s">
        <v>3824</v>
      </c>
      <c r="G647" s="2" t="s">
        <v>3825</v>
      </c>
      <c r="H647" s="2" t="s">
        <v>3672</v>
      </c>
      <c r="I647" s="2" t="s">
        <v>29</v>
      </c>
      <c r="J647" s="2" t="s">
        <v>71</v>
      </c>
      <c r="K647" s="2" t="s">
        <v>22</v>
      </c>
      <c r="L647" s="2" t="s">
        <v>3826</v>
      </c>
      <c r="M647" s="2"/>
    </row>
    <row r="648" customFormat="false" ht="23.85" hidden="false" customHeight="false" outlineLevel="0" collapsed="false">
      <c r="A648" s="2" t="s">
        <v>3827</v>
      </c>
      <c r="B648" s="3" t="s">
        <v>3828</v>
      </c>
      <c r="C648" s="2" t="s">
        <v>3829</v>
      </c>
      <c r="D648" s="2" t="s">
        <v>223</v>
      </c>
      <c r="E648" s="2" t="s">
        <v>99</v>
      </c>
      <c r="F648" s="2" t="s">
        <v>3830</v>
      </c>
      <c r="G648" s="2" t="s">
        <v>3831</v>
      </c>
      <c r="H648" s="2"/>
      <c r="I648" s="2" t="s">
        <v>119</v>
      </c>
      <c r="J648" s="2" t="s">
        <v>86</v>
      </c>
      <c r="K648" s="2" t="s">
        <v>87</v>
      </c>
      <c r="L648" s="2" t="s">
        <v>3832</v>
      </c>
      <c r="M648" s="2"/>
    </row>
    <row r="649" customFormat="false" ht="23.85" hidden="false" customHeight="false" outlineLevel="0" collapsed="false">
      <c r="A649" s="2" t="s">
        <v>3833</v>
      </c>
      <c r="B649" s="3" t="s">
        <v>3834</v>
      </c>
      <c r="C649" s="2" t="s">
        <v>3835</v>
      </c>
      <c r="D649" s="2" t="s">
        <v>82</v>
      </c>
      <c r="E649" s="2" t="s">
        <v>2844</v>
      </c>
      <c r="F649" s="2" t="s">
        <v>3836</v>
      </c>
      <c r="G649" s="2" t="s">
        <v>3837</v>
      </c>
      <c r="H649" s="2" t="s">
        <v>47</v>
      </c>
      <c r="I649" s="2" t="s">
        <v>20</v>
      </c>
      <c r="J649" s="2" t="s">
        <v>71</v>
      </c>
      <c r="K649" s="2" t="s">
        <v>72</v>
      </c>
      <c r="L649" s="2" t="s">
        <v>3838</v>
      </c>
      <c r="M649" s="2"/>
    </row>
    <row r="650" customFormat="false" ht="15" hidden="false" customHeight="false" outlineLevel="0" collapsed="false">
      <c r="A650" s="2" t="s">
        <v>3839</v>
      </c>
      <c r="B650" s="3" t="s">
        <v>3840</v>
      </c>
      <c r="C650" s="2"/>
      <c r="D650" s="2" t="s">
        <v>106</v>
      </c>
      <c r="E650" s="2" t="s">
        <v>53</v>
      </c>
      <c r="F650" s="2" t="s">
        <v>3841</v>
      </c>
      <c r="G650" s="2" t="s">
        <v>3842</v>
      </c>
      <c r="H650" s="2" t="s">
        <v>110</v>
      </c>
      <c r="I650" s="2" t="s">
        <v>256</v>
      </c>
      <c r="J650" s="2" t="s">
        <v>21</v>
      </c>
      <c r="K650" s="2" t="s">
        <v>22</v>
      </c>
      <c r="L650" s="2" t="s">
        <v>3843</v>
      </c>
      <c r="M650" s="2"/>
    </row>
    <row r="651" customFormat="false" ht="15" hidden="false" customHeight="false" outlineLevel="0" collapsed="false">
      <c r="A651" s="2" t="s">
        <v>3844</v>
      </c>
      <c r="B651" s="3" t="s">
        <v>3845</v>
      </c>
      <c r="C651" s="2" t="s">
        <v>3846</v>
      </c>
      <c r="D651" s="2" t="s">
        <v>82</v>
      </c>
      <c r="E651" s="2" t="s">
        <v>266</v>
      </c>
      <c r="F651" s="2" t="s">
        <v>3847</v>
      </c>
      <c r="G651" s="2" t="s">
        <v>3848</v>
      </c>
      <c r="H651" s="2" t="s">
        <v>47</v>
      </c>
      <c r="I651" s="2" t="s">
        <v>85</v>
      </c>
      <c r="J651" s="2" t="s">
        <v>71</v>
      </c>
      <c r="K651" s="2" t="s">
        <v>72</v>
      </c>
      <c r="L651" s="2" t="s">
        <v>3849</v>
      </c>
      <c r="M651" s="2"/>
    </row>
    <row r="652" customFormat="false" ht="23.85" hidden="false" customHeight="false" outlineLevel="0" collapsed="false">
      <c r="A652" s="2" t="s">
        <v>3850</v>
      </c>
      <c r="B652" s="3" t="s">
        <v>3851</v>
      </c>
      <c r="C652" s="2" t="s">
        <v>3852</v>
      </c>
      <c r="D652" s="2" t="s">
        <v>238</v>
      </c>
      <c r="E652" s="2" t="s">
        <v>53</v>
      </c>
      <c r="F652" s="2" t="s">
        <v>3853</v>
      </c>
      <c r="G652" s="2" t="s">
        <v>3854</v>
      </c>
      <c r="H652" s="2" t="s">
        <v>241</v>
      </c>
      <c r="I652" s="2" t="s">
        <v>256</v>
      </c>
      <c r="J652" s="2" t="s">
        <v>21</v>
      </c>
      <c r="K652" s="2" t="s">
        <v>22</v>
      </c>
      <c r="L652" s="2" t="s">
        <v>3855</v>
      </c>
      <c r="M652" s="2" t="s">
        <v>3856</v>
      </c>
    </row>
    <row r="653" customFormat="false" ht="23.85" hidden="false" customHeight="false" outlineLevel="0" collapsed="false">
      <c r="A653" s="2" t="s">
        <v>3857</v>
      </c>
      <c r="B653" s="3" t="s">
        <v>3858</v>
      </c>
      <c r="C653" s="2"/>
      <c r="D653" s="2" t="s">
        <v>82</v>
      </c>
      <c r="E653" s="2" t="s">
        <v>53</v>
      </c>
      <c r="F653" s="2" t="s">
        <v>3859</v>
      </c>
      <c r="G653" s="2" t="s">
        <v>3860</v>
      </c>
      <c r="H653" s="2" t="s">
        <v>47</v>
      </c>
      <c r="I653" s="2" t="s">
        <v>29</v>
      </c>
      <c r="J653" s="2" t="s">
        <v>21</v>
      </c>
      <c r="K653" s="2" t="s">
        <v>72</v>
      </c>
      <c r="L653" s="2" t="s">
        <v>3861</v>
      </c>
      <c r="M653" s="2"/>
    </row>
    <row r="654" customFormat="false" ht="23.85" hidden="false" customHeight="false" outlineLevel="0" collapsed="false">
      <c r="A654" s="2" t="s">
        <v>3862</v>
      </c>
      <c r="B654" s="3" t="s">
        <v>3863</v>
      </c>
      <c r="C654" s="2" t="s">
        <v>3864</v>
      </c>
      <c r="D654" s="2" t="s">
        <v>82</v>
      </c>
      <c r="E654" s="2" t="s">
        <v>216</v>
      </c>
      <c r="F654" s="2" t="s">
        <v>3865</v>
      </c>
      <c r="G654" s="2" t="s">
        <v>3866</v>
      </c>
      <c r="H654" s="2" t="s">
        <v>675</v>
      </c>
      <c r="I654" s="2" t="s">
        <v>138</v>
      </c>
      <c r="J654" s="2" t="s">
        <v>86</v>
      </c>
      <c r="K654" s="2" t="s">
        <v>72</v>
      </c>
      <c r="L654" s="2" t="s">
        <v>1794</v>
      </c>
      <c r="M654" s="2"/>
    </row>
    <row r="655" customFormat="false" ht="15" hidden="false" customHeight="false" outlineLevel="0" collapsed="false">
      <c r="A655" s="2" t="s">
        <v>3867</v>
      </c>
      <c r="B655" s="3" t="s">
        <v>3868</v>
      </c>
      <c r="C655" s="2" t="s">
        <v>3869</v>
      </c>
      <c r="D655" s="2" t="s">
        <v>15</v>
      </c>
      <c r="E655" s="2" t="s">
        <v>99</v>
      </c>
      <c r="F655" s="2" t="s">
        <v>3870</v>
      </c>
      <c r="G655" s="2" t="s">
        <v>3871</v>
      </c>
      <c r="H655" s="2" t="s">
        <v>372</v>
      </c>
      <c r="I655" s="2" t="s">
        <v>138</v>
      </c>
      <c r="J655" s="2" t="s">
        <v>86</v>
      </c>
      <c r="K655" s="2" t="s">
        <v>87</v>
      </c>
      <c r="L655" s="2" t="s">
        <v>3872</v>
      </c>
      <c r="M655" s="2"/>
    </row>
    <row r="656" customFormat="false" ht="23.85" hidden="false" customHeight="false" outlineLevel="0" collapsed="false">
      <c r="A656" s="2" t="s">
        <v>3873</v>
      </c>
      <c r="B656" s="3" t="s">
        <v>3874</v>
      </c>
      <c r="C656" s="2" t="s">
        <v>3875</v>
      </c>
      <c r="D656" s="2" t="s">
        <v>15</v>
      </c>
      <c r="E656" s="2" t="s">
        <v>99</v>
      </c>
      <c r="F656" s="2" t="s">
        <v>3876</v>
      </c>
      <c r="G656" s="2" t="s">
        <v>3877</v>
      </c>
      <c r="H656" s="2" t="s">
        <v>3424</v>
      </c>
      <c r="I656" s="2" t="s">
        <v>119</v>
      </c>
      <c r="J656" s="2" t="s">
        <v>86</v>
      </c>
      <c r="K656" s="2" t="s">
        <v>87</v>
      </c>
      <c r="L656" s="2" t="s">
        <v>3878</v>
      </c>
      <c r="M656" s="2" t="s">
        <v>3879</v>
      </c>
    </row>
    <row r="657" customFormat="false" ht="23.85" hidden="false" customHeight="false" outlineLevel="0" collapsed="false">
      <c r="A657" s="2" t="s">
        <v>3880</v>
      </c>
      <c r="B657" s="3" t="s">
        <v>3881</v>
      </c>
      <c r="C657" s="2" t="s">
        <v>3882</v>
      </c>
      <c r="D657" s="2" t="s">
        <v>43</v>
      </c>
      <c r="E657" s="2" t="s">
        <v>53</v>
      </c>
      <c r="F657" s="2" t="s">
        <v>3883</v>
      </c>
      <c r="G657" s="2" t="s">
        <v>3884</v>
      </c>
      <c r="H657" s="2" t="s">
        <v>28</v>
      </c>
      <c r="I657" s="2" t="s">
        <v>29</v>
      </c>
      <c r="J657" s="2" t="s">
        <v>21</v>
      </c>
      <c r="K657" s="2" t="s">
        <v>22</v>
      </c>
      <c r="L657" s="2" t="s">
        <v>3885</v>
      </c>
      <c r="M657" s="2"/>
    </row>
    <row r="658" customFormat="false" ht="15" hidden="false" customHeight="false" outlineLevel="0" collapsed="false">
      <c r="A658" s="2" t="s">
        <v>3886</v>
      </c>
      <c r="B658" s="3" t="s">
        <v>3887</v>
      </c>
      <c r="C658" s="2" t="s">
        <v>3888</v>
      </c>
      <c r="D658" s="2" t="s">
        <v>231</v>
      </c>
      <c r="E658" s="2" t="s">
        <v>53</v>
      </c>
      <c r="F658" s="2" t="s">
        <v>3889</v>
      </c>
      <c r="G658" s="2" t="s">
        <v>3890</v>
      </c>
      <c r="H658" s="2" t="s">
        <v>110</v>
      </c>
      <c r="I658" s="2" t="s">
        <v>48</v>
      </c>
      <c r="J658" s="2" t="s">
        <v>21</v>
      </c>
      <c r="K658" s="2" t="s">
        <v>22</v>
      </c>
      <c r="L658" s="2" t="s">
        <v>3891</v>
      </c>
      <c r="M658" s="2"/>
    </row>
    <row r="659" customFormat="false" ht="15" hidden="false" customHeight="false" outlineLevel="0" collapsed="false">
      <c r="A659" s="2" t="s">
        <v>446</v>
      </c>
      <c r="B659" s="3" t="s">
        <v>3892</v>
      </c>
      <c r="C659" s="2" t="s">
        <v>3893</v>
      </c>
      <c r="D659" s="2" t="s">
        <v>15</v>
      </c>
      <c r="E659" s="2" t="s">
        <v>99</v>
      </c>
      <c r="F659" s="2" t="s">
        <v>3894</v>
      </c>
      <c r="G659" s="2" t="s">
        <v>3895</v>
      </c>
      <c r="H659" s="2" t="s">
        <v>47</v>
      </c>
      <c r="I659" s="2" t="s">
        <v>85</v>
      </c>
      <c r="J659" s="2" t="s">
        <v>21</v>
      </c>
      <c r="K659" s="2" t="s">
        <v>22</v>
      </c>
      <c r="L659" s="2" t="s">
        <v>3896</v>
      </c>
      <c r="M659" s="2"/>
    </row>
    <row r="660" customFormat="false" ht="23.85" hidden="false" customHeight="false" outlineLevel="0" collapsed="false">
      <c r="A660" s="2" t="s">
        <v>3897</v>
      </c>
      <c r="B660" s="3" t="s">
        <v>3898</v>
      </c>
      <c r="C660" s="2"/>
      <c r="D660" s="2" t="s">
        <v>106</v>
      </c>
      <c r="E660" s="2" t="s">
        <v>53</v>
      </c>
      <c r="F660" s="2" t="s">
        <v>3899</v>
      </c>
      <c r="G660" s="2" t="s">
        <v>3900</v>
      </c>
      <c r="H660" s="2" t="s">
        <v>110</v>
      </c>
      <c r="I660" s="2" t="s">
        <v>78</v>
      </c>
      <c r="J660" s="2" t="s">
        <v>86</v>
      </c>
      <c r="K660" s="2" t="s">
        <v>72</v>
      </c>
      <c r="L660" s="2" t="s">
        <v>3901</v>
      </c>
      <c r="M660" s="2"/>
    </row>
    <row r="661" customFormat="false" ht="23.85" hidden="false" customHeight="false" outlineLevel="0" collapsed="false">
      <c r="A661" s="2" t="s">
        <v>3902</v>
      </c>
      <c r="B661" s="3" t="s">
        <v>3903</v>
      </c>
      <c r="C661" s="2" t="s">
        <v>3904</v>
      </c>
      <c r="D661" s="2" t="s">
        <v>15</v>
      </c>
      <c r="E661" s="2" t="s">
        <v>16</v>
      </c>
      <c r="F661" s="2" t="s">
        <v>3905</v>
      </c>
      <c r="G661" s="2" t="s">
        <v>3906</v>
      </c>
      <c r="H661" s="2" t="s">
        <v>47</v>
      </c>
      <c r="I661" s="2" t="s">
        <v>138</v>
      </c>
      <c r="J661" s="2" t="s">
        <v>21</v>
      </c>
      <c r="K661" s="2" t="s">
        <v>22</v>
      </c>
      <c r="L661" s="2" t="s">
        <v>3907</v>
      </c>
      <c r="M661" s="2"/>
    </row>
    <row r="662" customFormat="false" ht="23.85" hidden="false" customHeight="false" outlineLevel="0" collapsed="false">
      <c r="A662" s="2" t="s">
        <v>3908</v>
      </c>
      <c r="B662" s="3" t="s">
        <v>3909</v>
      </c>
      <c r="C662" s="2" t="s">
        <v>3910</v>
      </c>
      <c r="D662" s="2" t="s">
        <v>34</v>
      </c>
      <c r="E662" s="2" t="s">
        <v>116</v>
      </c>
      <c r="F662" s="2" t="s">
        <v>3911</v>
      </c>
      <c r="G662" s="2" t="s">
        <v>3912</v>
      </c>
      <c r="H662" s="2" t="s">
        <v>38</v>
      </c>
      <c r="I662" s="2" t="s">
        <v>85</v>
      </c>
      <c r="J662" s="2" t="s">
        <v>71</v>
      </c>
      <c r="K662" s="2" t="s">
        <v>72</v>
      </c>
      <c r="L662" s="2" t="s">
        <v>3913</v>
      </c>
      <c r="M662" s="2"/>
    </row>
    <row r="663" customFormat="false" ht="23.85" hidden="false" customHeight="false" outlineLevel="0" collapsed="false">
      <c r="A663" s="2" t="s">
        <v>3914</v>
      </c>
      <c r="B663" s="3" t="s">
        <v>3915</v>
      </c>
      <c r="C663" s="2" t="s">
        <v>3916</v>
      </c>
      <c r="D663" s="2" t="s">
        <v>179</v>
      </c>
      <c r="E663" s="2" t="s">
        <v>3917</v>
      </c>
      <c r="F663" s="2" t="s">
        <v>3918</v>
      </c>
      <c r="G663" s="2" t="s">
        <v>3919</v>
      </c>
      <c r="H663" s="2" t="s">
        <v>47</v>
      </c>
      <c r="I663" s="2" t="s">
        <v>78</v>
      </c>
      <c r="J663" s="2" t="s">
        <v>71</v>
      </c>
      <c r="K663" s="2" t="s">
        <v>22</v>
      </c>
      <c r="L663" s="2" t="s">
        <v>3920</v>
      </c>
      <c r="M663" s="2"/>
    </row>
    <row r="664" customFormat="false" ht="15" hidden="false" customHeight="false" outlineLevel="0" collapsed="false">
      <c r="A664" s="2" t="s">
        <v>3921</v>
      </c>
      <c r="B664" s="3" t="s">
        <v>3922</v>
      </c>
      <c r="C664" s="2"/>
      <c r="D664" s="2" t="s">
        <v>59</v>
      </c>
      <c r="E664" s="2" t="s">
        <v>1294</v>
      </c>
      <c r="F664" s="2" t="s">
        <v>3923</v>
      </c>
      <c r="G664" s="2" t="s">
        <v>3924</v>
      </c>
      <c r="H664" s="2" t="s">
        <v>543</v>
      </c>
      <c r="I664" s="2" t="s">
        <v>85</v>
      </c>
      <c r="J664" s="2" t="s">
        <v>86</v>
      </c>
      <c r="K664" s="2" t="s">
        <v>72</v>
      </c>
      <c r="L664" s="2" t="s">
        <v>3925</v>
      </c>
      <c r="M664" s="2"/>
    </row>
    <row r="665" customFormat="false" ht="23.85" hidden="false" customHeight="false" outlineLevel="0" collapsed="false">
      <c r="A665" s="2" t="s">
        <v>3926</v>
      </c>
      <c r="B665" s="3" t="s">
        <v>3927</v>
      </c>
      <c r="C665" s="2" t="s">
        <v>3928</v>
      </c>
      <c r="D665" s="2" t="s">
        <v>15</v>
      </c>
      <c r="E665" s="2" t="s">
        <v>16</v>
      </c>
      <c r="F665" s="2" t="s">
        <v>3929</v>
      </c>
      <c r="G665" s="2" t="s">
        <v>3930</v>
      </c>
      <c r="H665" s="2" t="s">
        <v>47</v>
      </c>
      <c r="I665" s="2" t="s">
        <v>20</v>
      </c>
      <c r="J665" s="2" t="s">
        <v>71</v>
      </c>
      <c r="K665" s="2" t="s">
        <v>22</v>
      </c>
      <c r="L665" s="2" t="s">
        <v>3931</v>
      </c>
      <c r="M665" s="2"/>
    </row>
    <row r="666" customFormat="false" ht="15" hidden="false" customHeight="false" outlineLevel="0" collapsed="false">
      <c r="A666" s="2" t="s">
        <v>3932</v>
      </c>
      <c r="B666" s="3" t="s">
        <v>3933</v>
      </c>
      <c r="C666" s="2"/>
      <c r="D666" s="2" t="s">
        <v>15</v>
      </c>
      <c r="E666" s="2" t="s">
        <v>16</v>
      </c>
      <c r="F666" s="2" t="s">
        <v>3934</v>
      </c>
      <c r="G666" s="2" t="s">
        <v>3935</v>
      </c>
      <c r="H666" s="2" t="s">
        <v>47</v>
      </c>
      <c r="I666" s="2" t="s">
        <v>138</v>
      </c>
      <c r="J666" s="2" t="s">
        <v>21</v>
      </c>
      <c r="K666" s="2" t="s">
        <v>22</v>
      </c>
      <c r="L666" s="2" t="s">
        <v>3936</v>
      </c>
      <c r="M666" s="2"/>
    </row>
    <row r="667" customFormat="false" ht="15" hidden="false" customHeight="false" outlineLevel="0" collapsed="false">
      <c r="A667" s="2" t="s">
        <v>3937</v>
      </c>
      <c r="B667" s="3" t="s">
        <v>3938</v>
      </c>
      <c r="C667" s="2"/>
      <c r="D667" s="2" t="s">
        <v>52</v>
      </c>
      <c r="E667" s="2" t="s">
        <v>60</v>
      </c>
      <c r="F667" s="2" t="s">
        <v>3939</v>
      </c>
      <c r="G667" s="2" t="s">
        <v>3940</v>
      </c>
      <c r="H667" s="2" t="s">
        <v>47</v>
      </c>
      <c r="I667" s="2" t="s">
        <v>63</v>
      </c>
      <c r="J667" s="2" t="s">
        <v>21</v>
      </c>
      <c r="K667" s="2" t="s">
        <v>22</v>
      </c>
      <c r="L667" s="2" t="s">
        <v>2463</v>
      </c>
      <c r="M667" s="2"/>
    </row>
    <row r="668" customFormat="false" ht="15" hidden="false" customHeight="false" outlineLevel="0" collapsed="false">
      <c r="A668" s="2" t="s">
        <v>3941</v>
      </c>
      <c r="B668" s="3" t="s">
        <v>3942</v>
      </c>
      <c r="C668" s="2" t="s">
        <v>3943</v>
      </c>
      <c r="D668" s="2" t="s">
        <v>15</v>
      </c>
      <c r="E668" s="2" t="s">
        <v>188</v>
      </c>
      <c r="F668" s="2" t="s">
        <v>3944</v>
      </c>
      <c r="G668" s="2" t="s">
        <v>3945</v>
      </c>
      <c r="H668" s="2" t="s">
        <v>47</v>
      </c>
      <c r="I668" s="2" t="s">
        <v>63</v>
      </c>
      <c r="J668" s="2" t="s">
        <v>21</v>
      </c>
      <c r="K668" s="2" t="s">
        <v>22</v>
      </c>
      <c r="L668" s="2" t="s">
        <v>2805</v>
      </c>
      <c r="M668" s="2"/>
    </row>
    <row r="669" customFormat="false" ht="15" hidden="false" customHeight="false" outlineLevel="0" collapsed="false">
      <c r="A669" s="2" t="s">
        <v>3946</v>
      </c>
      <c r="B669" s="3" t="s">
        <v>3947</v>
      </c>
      <c r="C669" s="2"/>
      <c r="D669" s="2" t="s">
        <v>15</v>
      </c>
      <c r="E669" s="2" t="s">
        <v>591</v>
      </c>
      <c r="F669" s="2" t="s">
        <v>3948</v>
      </c>
      <c r="G669" s="2" t="s">
        <v>3949</v>
      </c>
      <c r="H669" s="2" t="s">
        <v>47</v>
      </c>
      <c r="I669" s="2" t="s">
        <v>63</v>
      </c>
      <c r="J669" s="2" t="s">
        <v>71</v>
      </c>
      <c r="K669" s="2" t="s">
        <v>72</v>
      </c>
      <c r="L669" s="2" t="s">
        <v>3950</v>
      </c>
      <c r="M669" s="2"/>
    </row>
    <row r="670" customFormat="false" ht="15" hidden="false" customHeight="false" outlineLevel="0" collapsed="false">
      <c r="A670" s="2" t="s">
        <v>3951</v>
      </c>
      <c r="B670" s="3" t="s">
        <v>3952</v>
      </c>
      <c r="C670" s="2" t="s">
        <v>3953</v>
      </c>
      <c r="D670" s="2" t="s">
        <v>15</v>
      </c>
      <c r="E670" s="2" t="s">
        <v>16</v>
      </c>
      <c r="F670" s="2" t="s">
        <v>3954</v>
      </c>
      <c r="G670" s="2" t="s">
        <v>3955</v>
      </c>
      <c r="H670" s="2" t="s">
        <v>47</v>
      </c>
      <c r="I670" s="2" t="s">
        <v>138</v>
      </c>
      <c r="J670" s="2" t="s">
        <v>71</v>
      </c>
      <c r="K670" s="2" t="s">
        <v>72</v>
      </c>
      <c r="L670" s="2" t="s">
        <v>3956</v>
      </c>
      <c r="M670" s="2"/>
    </row>
    <row r="671" customFormat="false" ht="15" hidden="false" customHeight="false" outlineLevel="0" collapsed="false">
      <c r="A671" s="2" t="s">
        <v>3957</v>
      </c>
      <c r="B671" s="3" t="s">
        <v>3958</v>
      </c>
      <c r="C671" s="2" t="s">
        <v>3959</v>
      </c>
      <c r="D671" s="2" t="s">
        <v>238</v>
      </c>
      <c r="E671" s="2" t="s">
        <v>2195</v>
      </c>
      <c r="F671" s="2" t="s">
        <v>3960</v>
      </c>
      <c r="G671" s="2" t="s">
        <v>3961</v>
      </c>
      <c r="H671" s="2"/>
      <c r="I671" s="2" t="s">
        <v>256</v>
      </c>
      <c r="J671" s="2" t="s">
        <v>21</v>
      </c>
      <c r="K671" s="2" t="s">
        <v>22</v>
      </c>
      <c r="L671" s="2" t="s">
        <v>1939</v>
      </c>
      <c r="M671" s="2"/>
    </row>
    <row r="672" customFormat="false" ht="23.85" hidden="false" customHeight="false" outlineLevel="0" collapsed="false">
      <c r="A672" s="2" t="s">
        <v>3962</v>
      </c>
      <c r="B672" s="3" t="s">
        <v>3963</v>
      </c>
      <c r="C672" s="2" t="s">
        <v>3964</v>
      </c>
      <c r="D672" s="2" t="s">
        <v>106</v>
      </c>
      <c r="E672" s="2" t="s">
        <v>569</v>
      </c>
      <c r="F672" s="2" t="s">
        <v>3965</v>
      </c>
      <c r="G672" s="2" t="s">
        <v>3966</v>
      </c>
      <c r="H672" s="2" t="s">
        <v>110</v>
      </c>
      <c r="I672" s="2" t="s">
        <v>111</v>
      </c>
      <c r="J672" s="2" t="s">
        <v>21</v>
      </c>
      <c r="K672" s="2" t="s">
        <v>22</v>
      </c>
      <c r="L672" s="2" t="s">
        <v>3967</v>
      </c>
      <c r="M672" s="2"/>
    </row>
    <row r="673" customFormat="false" ht="15" hidden="false" customHeight="false" outlineLevel="0" collapsed="false">
      <c r="A673" s="2" t="s">
        <v>3968</v>
      </c>
      <c r="B673" s="3" t="s">
        <v>3969</v>
      </c>
      <c r="C673" s="2"/>
      <c r="D673" s="2" t="s">
        <v>52</v>
      </c>
      <c r="E673" s="2" t="s">
        <v>16</v>
      </c>
      <c r="F673" s="2" t="s">
        <v>3970</v>
      </c>
      <c r="G673" s="2" t="s">
        <v>3971</v>
      </c>
      <c r="H673" s="2" t="s">
        <v>624</v>
      </c>
      <c r="I673" s="2" t="s">
        <v>85</v>
      </c>
      <c r="J673" s="2" t="s">
        <v>71</v>
      </c>
      <c r="K673" s="2" t="s">
        <v>22</v>
      </c>
      <c r="L673" s="2" t="s">
        <v>3972</v>
      </c>
      <c r="M673" s="2"/>
    </row>
    <row r="674" customFormat="false" ht="15" hidden="false" customHeight="false" outlineLevel="0" collapsed="false">
      <c r="A674" s="2" t="s">
        <v>829</v>
      </c>
      <c r="B674" s="3" t="s">
        <v>3973</v>
      </c>
      <c r="C674" s="2" t="s">
        <v>3974</v>
      </c>
      <c r="D674" s="2" t="s">
        <v>106</v>
      </c>
      <c r="E674" s="2" t="s">
        <v>99</v>
      </c>
      <c r="F674" s="2" t="s">
        <v>3975</v>
      </c>
      <c r="G674" s="2" t="s">
        <v>3976</v>
      </c>
      <c r="H674" s="2" t="s">
        <v>110</v>
      </c>
      <c r="I674" s="2" t="s">
        <v>111</v>
      </c>
      <c r="J674" s="2" t="s">
        <v>71</v>
      </c>
      <c r="K674" s="2" t="s">
        <v>22</v>
      </c>
      <c r="L674" s="2" t="s">
        <v>825</v>
      </c>
      <c r="M674" s="2"/>
    </row>
    <row r="675" customFormat="false" ht="15" hidden="false" customHeight="false" outlineLevel="0" collapsed="false">
      <c r="A675" s="2" t="s">
        <v>3977</v>
      </c>
      <c r="B675" s="3" t="s">
        <v>3978</v>
      </c>
      <c r="C675" s="2"/>
      <c r="D675" s="2" t="s">
        <v>251</v>
      </c>
      <c r="E675" s="2" t="s">
        <v>251</v>
      </c>
      <c r="F675" s="2" t="s">
        <v>3979</v>
      </c>
      <c r="G675" s="2" t="s">
        <v>3980</v>
      </c>
      <c r="H675" s="2" t="s">
        <v>255</v>
      </c>
      <c r="I675" s="2" t="s">
        <v>63</v>
      </c>
      <c r="J675" s="2" t="s">
        <v>21</v>
      </c>
      <c r="K675" s="2" t="s">
        <v>22</v>
      </c>
      <c r="L675" s="2" t="s">
        <v>3981</v>
      </c>
      <c r="M675" s="2"/>
    </row>
    <row r="676" customFormat="false" ht="15" hidden="false" customHeight="false" outlineLevel="0" collapsed="false">
      <c r="A676" s="2" t="s">
        <v>3982</v>
      </c>
      <c r="B676" s="3" t="s">
        <v>3983</v>
      </c>
      <c r="C676" s="2"/>
      <c r="D676" s="2" t="s">
        <v>52</v>
      </c>
      <c r="E676" s="2" t="s">
        <v>16</v>
      </c>
      <c r="F676" s="2" t="s">
        <v>3984</v>
      </c>
      <c r="G676" s="2" t="s">
        <v>3985</v>
      </c>
      <c r="H676" s="2" t="s">
        <v>624</v>
      </c>
      <c r="I676" s="2" t="s">
        <v>85</v>
      </c>
      <c r="J676" s="2" t="s">
        <v>71</v>
      </c>
      <c r="K676" s="2" t="s">
        <v>22</v>
      </c>
      <c r="L676" s="2" t="s">
        <v>3986</v>
      </c>
      <c r="M676" s="2"/>
    </row>
    <row r="677" customFormat="false" ht="23.85" hidden="false" customHeight="false" outlineLevel="0" collapsed="false">
      <c r="A677" s="2" t="s">
        <v>3987</v>
      </c>
      <c r="B677" s="3" t="s">
        <v>3988</v>
      </c>
      <c r="C677" s="2" t="s">
        <v>3989</v>
      </c>
      <c r="D677" s="2" t="s">
        <v>179</v>
      </c>
      <c r="E677" s="2" t="s">
        <v>208</v>
      </c>
      <c r="F677" s="2" t="s">
        <v>3990</v>
      </c>
      <c r="G677" s="2" t="s">
        <v>3991</v>
      </c>
      <c r="H677" s="2" t="s">
        <v>329</v>
      </c>
      <c r="I677" s="2" t="s">
        <v>78</v>
      </c>
      <c r="J677" s="2" t="s">
        <v>71</v>
      </c>
      <c r="K677" s="2" t="s">
        <v>87</v>
      </c>
      <c r="L677" s="2" t="s">
        <v>3992</v>
      </c>
      <c r="M677" s="2"/>
    </row>
    <row r="678" customFormat="false" ht="15" hidden="false" customHeight="false" outlineLevel="0" collapsed="false">
      <c r="A678" s="2" t="s">
        <v>3993</v>
      </c>
      <c r="B678" s="3" t="s">
        <v>3994</v>
      </c>
      <c r="C678" s="2"/>
      <c r="D678" s="2" t="s">
        <v>82</v>
      </c>
      <c r="E678" s="2" t="s">
        <v>216</v>
      </c>
      <c r="F678" s="2" t="s">
        <v>3995</v>
      </c>
      <c r="G678" s="2" t="s">
        <v>3996</v>
      </c>
      <c r="H678" s="2" t="s">
        <v>675</v>
      </c>
      <c r="I678" s="2" t="s">
        <v>85</v>
      </c>
      <c r="J678" s="2" t="s">
        <v>71</v>
      </c>
      <c r="K678" s="2" t="s">
        <v>72</v>
      </c>
      <c r="L678" s="2" t="s">
        <v>3997</v>
      </c>
      <c r="M678" s="2"/>
    </row>
    <row r="679" customFormat="false" ht="15" hidden="false" customHeight="false" outlineLevel="0" collapsed="false">
      <c r="A679" s="2" t="s">
        <v>640</v>
      </c>
      <c r="B679" s="3" t="s">
        <v>3998</v>
      </c>
      <c r="C679" s="2"/>
      <c r="D679" s="2" t="s">
        <v>15</v>
      </c>
      <c r="E679" s="2" t="s">
        <v>591</v>
      </c>
      <c r="F679" s="2" t="s">
        <v>3999</v>
      </c>
      <c r="G679" s="2" t="s">
        <v>4000</v>
      </c>
      <c r="H679" s="2" t="s">
        <v>47</v>
      </c>
      <c r="I679" s="2" t="s">
        <v>48</v>
      </c>
      <c r="J679" s="2" t="s">
        <v>71</v>
      </c>
      <c r="K679" s="2" t="s">
        <v>72</v>
      </c>
      <c r="L679" s="2" t="s">
        <v>4001</v>
      </c>
      <c r="M679" s="2"/>
    </row>
    <row r="680" customFormat="false" ht="23.85" hidden="false" customHeight="false" outlineLevel="0" collapsed="false">
      <c r="A680" s="2" t="s">
        <v>4002</v>
      </c>
      <c r="B680" s="3" t="s">
        <v>4003</v>
      </c>
      <c r="C680" s="2"/>
      <c r="D680" s="2" t="s">
        <v>179</v>
      </c>
      <c r="E680" s="2" t="s">
        <v>44</v>
      </c>
      <c r="F680" s="2" t="s">
        <v>4004</v>
      </c>
      <c r="G680" s="2" t="s">
        <v>4005</v>
      </c>
      <c r="H680" s="2" t="s">
        <v>47</v>
      </c>
      <c r="I680" s="2" t="s">
        <v>20</v>
      </c>
      <c r="J680" s="2" t="s">
        <v>86</v>
      </c>
      <c r="K680" s="2" t="s">
        <v>87</v>
      </c>
      <c r="L680" s="2" t="s">
        <v>4006</v>
      </c>
      <c r="M680" s="2"/>
    </row>
    <row r="681" customFormat="false" ht="15" hidden="false" customHeight="false" outlineLevel="0" collapsed="false">
      <c r="A681" s="2" t="s">
        <v>4007</v>
      </c>
      <c r="B681" s="3" t="s">
        <v>4008</v>
      </c>
      <c r="C681" s="2"/>
      <c r="D681" s="2" t="s">
        <v>15</v>
      </c>
      <c r="E681" s="2" t="s">
        <v>16</v>
      </c>
      <c r="F681" s="2" t="s">
        <v>4009</v>
      </c>
      <c r="G681" s="2" t="s">
        <v>4010</v>
      </c>
      <c r="H681" s="2" t="s">
        <v>47</v>
      </c>
      <c r="I681" s="2" t="s">
        <v>799</v>
      </c>
      <c r="J681" s="2" t="s">
        <v>71</v>
      </c>
      <c r="K681" s="2" t="s">
        <v>22</v>
      </c>
      <c r="L681" s="2" t="s">
        <v>3951</v>
      </c>
      <c r="M681" s="2"/>
    </row>
    <row r="682" customFormat="false" ht="23.85" hidden="false" customHeight="false" outlineLevel="0" collapsed="false">
      <c r="A682" s="2" t="s">
        <v>2111</v>
      </c>
      <c r="B682" s="3" t="s">
        <v>4011</v>
      </c>
      <c r="C682" s="2"/>
      <c r="D682" s="2" t="s">
        <v>82</v>
      </c>
      <c r="E682" s="2" t="s">
        <v>266</v>
      </c>
      <c r="F682" s="2" t="s">
        <v>4012</v>
      </c>
      <c r="G682" s="2" t="s">
        <v>4013</v>
      </c>
      <c r="H682" s="2" t="s">
        <v>47</v>
      </c>
      <c r="I682" s="2" t="s">
        <v>63</v>
      </c>
      <c r="J682" s="2" t="s">
        <v>21</v>
      </c>
      <c r="K682" s="2" t="s">
        <v>72</v>
      </c>
      <c r="L682" s="2" t="s">
        <v>4014</v>
      </c>
      <c r="M682" s="2"/>
    </row>
    <row r="683" customFormat="false" ht="23.85" hidden="false" customHeight="false" outlineLevel="0" collapsed="false">
      <c r="A683" s="2" t="s">
        <v>4015</v>
      </c>
      <c r="B683" s="3" t="s">
        <v>4016</v>
      </c>
      <c r="C683" s="2" t="s">
        <v>4017</v>
      </c>
      <c r="D683" s="2" t="s">
        <v>15</v>
      </c>
      <c r="E683" s="2" t="s">
        <v>16</v>
      </c>
      <c r="F683" s="2" t="s">
        <v>4018</v>
      </c>
      <c r="G683" s="2" t="s">
        <v>4019</v>
      </c>
      <c r="H683" s="2" t="s">
        <v>47</v>
      </c>
      <c r="I683" s="2" t="s">
        <v>182</v>
      </c>
      <c r="J683" s="2" t="s">
        <v>86</v>
      </c>
      <c r="K683" s="2" t="s">
        <v>72</v>
      </c>
      <c r="L683" s="2" t="s">
        <v>4020</v>
      </c>
      <c r="M683" s="2"/>
    </row>
    <row r="684" customFormat="false" ht="15" hidden="false" customHeight="false" outlineLevel="0" collapsed="false">
      <c r="A684" s="2" t="s">
        <v>2043</v>
      </c>
      <c r="B684" s="3" t="s">
        <v>4021</v>
      </c>
      <c r="C684" s="2"/>
      <c r="D684" s="2" t="s">
        <v>82</v>
      </c>
      <c r="E684" s="2" t="s">
        <v>91</v>
      </c>
      <c r="F684" s="2" t="s">
        <v>4022</v>
      </c>
      <c r="G684" s="2" t="s">
        <v>4023</v>
      </c>
      <c r="H684" s="2" t="s">
        <v>47</v>
      </c>
      <c r="I684" s="2" t="s">
        <v>85</v>
      </c>
      <c r="J684" s="2" t="s">
        <v>71</v>
      </c>
      <c r="K684" s="2" t="s">
        <v>72</v>
      </c>
      <c r="L684" s="2" t="s">
        <v>4024</v>
      </c>
      <c r="M684" s="2"/>
    </row>
    <row r="685" customFormat="false" ht="15" hidden="false" customHeight="false" outlineLevel="0" collapsed="false">
      <c r="A685" s="2" t="s">
        <v>4025</v>
      </c>
      <c r="B685" s="3" t="s">
        <v>4026</v>
      </c>
      <c r="C685" s="2"/>
      <c r="D685" s="2" t="s">
        <v>106</v>
      </c>
      <c r="E685" s="2" t="s">
        <v>116</v>
      </c>
      <c r="F685" s="2" t="s">
        <v>4027</v>
      </c>
      <c r="G685" s="2" t="s">
        <v>4028</v>
      </c>
      <c r="H685" s="2" t="s">
        <v>110</v>
      </c>
      <c r="I685" s="2" t="s">
        <v>111</v>
      </c>
      <c r="J685" s="2" t="s">
        <v>71</v>
      </c>
      <c r="K685" s="2" t="s">
        <v>22</v>
      </c>
      <c r="L685" s="2" t="s">
        <v>4029</v>
      </c>
      <c r="M685" s="2"/>
    </row>
    <row r="686" customFormat="false" ht="23.85" hidden="false" customHeight="false" outlineLevel="0" collapsed="false">
      <c r="A686" s="2" t="s">
        <v>3393</v>
      </c>
      <c r="B686" s="3" t="s">
        <v>4030</v>
      </c>
      <c r="C686" s="2" t="s">
        <v>4031</v>
      </c>
      <c r="D686" s="2" t="s">
        <v>82</v>
      </c>
      <c r="E686" s="2" t="s">
        <v>535</v>
      </c>
      <c r="F686" s="2" t="s">
        <v>4032</v>
      </c>
      <c r="G686" s="2" t="s">
        <v>4033</v>
      </c>
      <c r="H686" s="2" t="s">
        <v>47</v>
      </c>
      <c r="I686" s="2" t="s">
        <v>48</v>
      </c>
      <c r="J686" s="2" t="s">
        <v>71</v>
      </c>
      <c r="K686" s="2" t="s">
        <v>72</v>
      </c>
      <c r="L686" s="2" t="s">
        <v>1173</v>
      </c>
      <c r="M686" s="2"/>
    </row>
    <row r="687" customFormat="false" ht="23.85" hidden="false" customHeight="false" outlineLevel="0" collapsed="false">
      <c r="A687" s="2" t="s">
        <v>4034</v>
      </c>
      <c r="B687" s="3" t="s">
        <v>4035</v>
      </c>
      <c r="C687" s="2" t="s">
        <v>4036</v>
      </c>
      <c r="D687" s="2" t="s">
        <v>15</v>
      </c>
      <c r="E687" s="2" t="s">
        <v>91</v>
      </c>
      <c r="F687" s="2" t="s">
        <v>4037</v>
      </c>
      <c r="G687" s="2" t="s">
        <v>4038</v>
      </c>
      <c r="H687" s="2" t="s">
        <v>47</v>
      </c>
      <c r="I687" s="2" t="s">
        <v>182</v>
      </c>
      <c r="J687" s="2" t="s">
        <v>86</v>
      </c>
      <c r="K687" s="2" t="s">
        <v>87</v>
      </c>
      <c r="L687" s="2" t="s">
        <v>4039</v>
      </c>
      <c r="M687" s="2" t="s">
        <v>4040</v>
      </c>
    </row>
    <row r="688" customFormat="false" ht="23.85" hidden="false" customHeight="false" outlineLevel="0" collapsed="false">
      <c r="A688" s="2" t="s">
        <v>4041</v>
      </c>
      <c r="B688" s="3" t="s">
        <v>4042</v>
      </c>
      <c r="C688" s="2"/>
      <c r="D688" s="2" t="s">
        <v>52</v>
      </c>
      <c r="E688" s="2" t="s">
        <v>4043</v>
      </c>
      <c r="F688" s="2" t="s">
        <v>4044</v>
      </c>
      <c r="G688" s="2" t="s">
        <v>4045</v>
      </c>
      <c r="H688" s="2" t="s">
        <v>47</v>
      </c>
      <c r="I688" s="2" t="s">
        <v>63</v>
      </c>
      <c r="J688" s="2" t="s">
        <v>71</v>
      </c>
      <c r="K688" s="2" t="s">
        <v>22</v>
      </c>
      <c r="L688" s="2" t="s">
        <v>498</v>
      </c>
      <c r="M688" s="2"/>
    </row>
    <row r="689" customFormat="false" ht="23.85" hidden="false" customHeight="false" outlineLevel="0" collapsed="false">
      <c r="A689" s="2" t="s">
        <v>3431</v>
      </c>
      <c r="B689" s="3" t="s">
        <v>4046</v>
      </c>
      <c r="C689" s="2" t="s">
        <v>4047</v>
      </c>
      <c r="D689" s="2" t="s">
        <v>82</v>
      </c>
      <c r="E689" s="2" t="s">
        <v>91</v>
      </c>
      <c r="F689" s="2" t="s">
        <v>4048</v>
      </c>
      <c r="G689" s="2" t="s">
        <v>4049</v>
      </c>
      <c r="H689" s="2" t="s">
        <v>675</v>
      </c>
      <c r="I689" s="2" t="s">
        <v>508</v>
      </c>
      <c r="J689" s="2" t="s">
        <v>71</v>
      </c>
      <c r="K689" s="2" t="s">
        <v>72</v>
      </c>
      <c r="L689" s="2" t="s">
        <v>4050</v>
      </c>
      <c r="M689" s="2" t="s">
        <v>4051</v>
      </c>
    </row>
    <row r="690" customFormat="false" ht="15" hidden="false" customHeight="false" outlineLevel="0" collapsed="false">
      <c r="A690" s="2" t="s">
        <v>4052</v>
      </c>
      <c r="B690" s="3" t="s">
        <v>4053</v>
      </c>
      <c r="C690" s="2" t="s">
        <v>4054</v>
      </c>
      <c r="D690" s="2" t="s">
        <v>82</v>
      </c>
      <c r="E690" s="2" t="s">
        <v>3435</v>
      </c>
      <c r="F690" s="2" t="s">
        <v>4055</v>
      </c>
      <c r="G690" s="2" t="s">
        <v>4056</v>
      </c>
      <c r="H690" s="2" t="s">
        <v>675</v>
      </c>
      <c r="I690" s="2" t="s">
        <v>138</v>
      </c>
      <c r="J690" s="2" t="s">
        <v>86</v>
      </c>
      <c r="K690" s="2" t="s">
        <v>72</v>
      </c>
      <c r="L690" s="2" t="s">
        <v>4057</v>
      </c>
      <c r="M690" s="2"/>
    </row>
    <row r="691" customFormat="false" ht="23.85" hidden="false" customHeight="false" outlineLevel="0" collapsed="false">
      <c r="A691" s="2" t="s">
        <v>1184</v>
      </c>
      <c r="B691" s="3" t="s">
        <v>4058</v>
      </c>
      <c r="C691" s="2"/>
      <c r="D691" s="2" t="s">
        <v>179</v>
      </c>
      <c r="E691" s="2" t="s">
        <v>4043</v>
      </c>
      <c r="F691" s="2" t="s">
        <v>4059</v>
      </c>
      <c r="G691" s="2" t="s">
        <v>4060</v>
      </c>
      <c r="H691" s="2"/>
      <c r="I691" s="2" t="s">
        <v>182</v>
      </c>
      <c r="J691" s="2" t="s">
        <v>86</v>
      </c>
      <c r="K691" s="2" t="s">
        <v>87</v>
      </c>
      <c r="L691" s="2" t="s">
        <v>1180</v>
      </c>
      <c r="M691" s="2"/>
    </row>
    <row r="692" customFormat="false" ht="15" hidden="false" customHeight="false" outlineLevel="0" collapsed="false">
      <c r="A692" s="2" t="s">
        <v>4061</v>
      </c>
      <c r="B692" s="3" t="s">
        <v>4062</v>
      </c>
      <c r="C692" s="2" t="s">
        <v>4063</v>
      </c>
      <c r="D692" s="2" t="s">
        <v>82</v>
      </c>
      <c r="E692" s="2" t="s">
        <v>216</v>
      </c>
      <c r="F692" s="2" t="s">
        <v>4064</v>
      </c>
      <c r="G692" s="2" t="s">
        <v>4065</v>
      </c>
      <c r="H692" s="2" t="s">
        <v>675</v>
      </c>
      <c r="I692" s="2" t="s">
        <v>138</v>
      </c>
      <c r="J692" s="2" t="s">
        <v>86</v>
      </c>
      <c r="K692" s="2" t="s">
        <v>87</v>
      </c>
      <c r="L692" s="2" t="s">
        <v>4066</v>
      </c>
      <c r="M692" s="2"/>
    </row>
    <row r="693" customFormat="false" ht="15" hidden="false" customHeight="false" outlineLevel="0" collapsed="false">
      <c r="A693" s="2" t="s">
        <v>4067</v>
      </c>
      <c r="B693" s="3" t="s">
        <v>4068</v>
      </c>
      <c r="C693" s="2"/>
      <c r="D693" s="2" t="s">
        <v>15</v>
      </c>
      <c r="E693" s="2" t="s">
        <v>796</v>
      </c>
      <c r="F693" s="2" t="s">
        <v>4069</v>
      </c>
      <c r="G693" s="2" t="s">
        <v>4070</v>
      </c>
      <c r="H693" s="2" t="s">
        <v>47</v>
      </c>
      <c r="I693" s="2" t="s">
        <v>94</v>
      </c>
      <c r="J693" s="2" t="s">
        <v>86</v>
      </c>
      <c r="K693" s="2" t="s">
        <v>72</v>
      </c>
      <c r="L693" s="2" t="s">
        <v>4071</v>
      </c>
      <c r="M693" s="2" t="s">
        <v>4072</v>
      </c>
    </row>
    <row r="694" customFormat="false" ht="23.85" hidden="false" customHeight="false" outlineLevel="0" collapsed="false">
      <c r="A694" s="2" t="s">
        <v>4073</v>
      </c>
      <c r="B694" s="3" t="s">
        <v>4074</v>
      </c>
      <c r="C694" s="2" t="s">
        <v>4075</v>
      </c>
      <c r="D694" s="2" t="s">
        <v>15</v>
      </c>
      <c r="E694" s="2" t="s">
        <v>99</v>
      </c>
      <c r="F694" s="2" t="s">
        <v>4076</v>
      </c>
      <c r="G694" s="2" t="s">
        <v>4077</v>
      </c>
      <c r="H694" s="2"/>
      <c r="I694" s="2" t="s">
        <v>111</v>
      </c>
      <c r="J694" s="2" t="s">
        <v>71</v>
      </c>
      <c r="K694" s="2" t="s">
        <v>72</v>
      </c>
      <c r="L694" s="2" t="s">
        <v>1754</v>
      </c>
      <c r="M694" s="2" t="s">
        <v>4078</v>
      </c>
    </row>
    <row r="695" customFormat="false" ht="15" hidden="false" customHeight="false" outlineLevel="0" collapsed="false">
      <c r="A695" s="2" t="s">
        <v>4079</v>
      </c>
      <c r="B695" s="3" t="s">
        <v>4080</v>
      </c>
      <c r="C695" s="2"/>
      <c r="D695" s="2" t="s">
        <v>34</v>
      </c>
      <c r="E695" s="2" t="s">
        <v>208</v>
      </c>
      <c r="F695" s="2" t="s">
        <v>4081</v>
      </c>
      <c r="G695" s="2" t="s">
        <v>4082</v>
      </c>
      <c r="H695" s="2" t="s">
        <v>38</v>
      </c>
      <c r="I695" s="2" t="s">
        <v>63</v>
      </c>
      <c r="J695" s="2" t="s">
        <v>71</v>
      </c>
      <c r="K695" s="2" t="s">
        <v>22</v>
      </c>
      <c r="L695" s="2" t="s">
        <v>4083</v>
      </c>
      <c r="M695" s="2"/>
    </row>
    <row r="696" customFormat="false" ht="15" hidden="false" customHeight="false" outlineLevel="0" collapsed="false">
      <c r="A696" s="2" t="s">
        <v>4084</v>
      </c>
      <c r="B696" s="3" t="s">
        <v>4085</v>
      </c>
      <c r="C696" s="2" t="s">
        <v>4086</v>
      </c>
      <c r="D696" s="2" t="s">
        <v>15</v>
      </c>
      <c r="E696" s="2" t="s">
        <v>99</v>
      </c>
      <c r="F696" s="2" t="s">
        <v>4087</v>
      </c>
      <c r="G696" s="2" t="s">
        <v>4088</v>
      </c>
      <c r="H696" s="2" t="s">
        <v>47</v>
      </c>
      <c r="I696" s="2" t="s">
        <v>138</v>
      </c>
      <c r="J696" s="2" t="s">
        <v>86</v>
      </c>
      <c r="K696" s="2" t="s">
        <v>72</v>
      </c>
      <c r="L696" s="2" t="s">
        <v>4089</v>
      </c>
      <c r="M696" s="2"/>
    </row>
    <row r="697" customFormat="false" ht="23.85" hidden="false" customHeight="false" outlineLevel="0" collapsed="false">
      <c r="A697" s="2" t="s">
        <v>1765</v>
      </c>
      <c r="B697" s="3" t="s">
        <v>4090</v>
      </c>
      <c r="C697" s="2" t="s">
        <v>4091</v>
      </c>
      <c r="D697" s="2" t="s">
        <v>43</v>
      </c>
      <c r="E697" s="2" t="s">
        <v>53</v>
      </c>
      <c r="F697" s="2" t="s">
        <v>4092</v>
      </c>
      <c r="G697" s="2" t="s">
        <v>4093</v>
      </c>
      <c r="H697" s="2" t="s">
        <v>28</v>
      </c>
      <c r="I697" s="2" t="s">
        <v>78</v>
      </c>
      <c r="J697" s="2" t="s">
        <v>71</v>
      </c>
      <c r="K697" s="2" t="s">
        <v>87</v>
      </c>
      <c r="L697" s="2" t="s">
        <v>4094</v>
      </c>
      <c r="M697" s="2"/>
    </row>
    <row r="698" customFormat="false" ht="15" hidden="false" customHeight="false" outlineLevel="0" collapsed="false">
      <c r="A698" s="2" t="s">
        <v>4095</v>
      </c>
      <c r="B698" s="3" t="s">
        <v>4096</v>
      </c>
      <c r="C698" s="2"/>
      <c r="D698" s="2" t="s">
        <v>223</v>
      </c>
      <c r="E698" s="2" t="s">
        <v>116</v>
      </c>
      <c r="F698" s="2" t="s">
        <v>4097</v>
      </c>
      <c r="G698" s="2" t="s">
        <v>4098</v>
      </c>
      <c r="H698" s="2" t="s">
        <v>47</v>
      </c>
      <c r="I698" s="2" t="s">
        <v>138</v>
      </c>
      <c r="J698" s="2" t="s">
        <v>86</v>
      </c>
      <c r="K698" s="2" t="s">
        <v>72</v>
      </c>
      <c r="L698" s="2" t="s">
        <v>1838</v>
      </c>
      <c r="M698" s="2"/>
    </row>
    <row r="699" customFormat="false" ht="15" hidden="false" customHeight="false" outlineLevel="0" collapsed="false">
      <c r="A699" s="2" t="s">
        <v>4099</v>
      </c>
      <c r="B699" s="3" t="s">
        <v>4100</v>
      </c>
      <c r="C699" s="2"/>
      <c r="D699" s="2" t="s">
        <v>223</v>
      </c>
      <c r="E699" s="2" t="s">
        <v>53</v>
      </c>
      <c r="F699" s="2" t="s">
        <v>4101</v>
      </c>
      <c r="G699" s="2" t="s">
        <v>4102</v>
      </c>
      <c r="H699" s="2" t="s">
        <v>28</v>
      </c>
      <c r="I699" s="2" t="s">
        <v>29</v>
      </c>
      <c r="J699" s="2" t="s">
        <v>71</v>
      </c>
      <c r="K699" s="2" t="s">
        <v>72</v>
      </c>
      <c r="L699" s="2" t="s">
        <v>4103</v>
      </c>
      <c r="M699" s="2"/>
    </row>
    <row r="700" customFormat="false" ht="23.85" hidden="false" customHeight="false" outlineLevel="0" collapsed="false">
      <c r="A700" s="2" t="s">
        <v>4104</v>
      </c>
      <c r="B700" s="3" t="s">
        <v>4105</v>
      </c>
      <c r="C700" s="2" t="s">
        <v>4106</v>
      </c>
      <c r="D700" s="2" t="s">
        <v>15</v>
      </c>
      <c r="E700" s="2" t="s">
        <v>16</v>
      </c>
      <c r="F700" s="2" t="s">
        <v>4107</v>
      </c>
      <c r="G700" s="2" t="s">
        <v>4108</v>
      </c>
      <c r="H700" s="2" t="s">
        <v>866</v>
      </c>
      <c r="I700" s="2" t="s">
        <v>138</v>
      </c>
      <c r="J700" s="2" t="s">
        <v>71</v>
      </c>
      <c r="K700" s="2" t="s">
        <v>72</v>
      </c>
      <c r="L700" s="2" t="s">
        <v>4109</v>
      </c>
      <c r="M700" s="2"/>
    </row>
    <row r="701" customFormat="false" ht="23.85" hidden="false" customHeight="false" outlineLevel="0" collapsed="false">
      <c r="A701" s="2" t="s">
        <v>4110</v>
      </c>
      <c r="B701" s="3" t="s">
        <v>4111</v>
      </c>
      <c r="C701" s="2" t="s">
        <v>4112</v>
      </c>
      <c r="D701" s="2" t="s">
        <v>15</v>
      </c>
      <c r="E701" s="2" t="s">
        <v>16</v>
      </c>
      <c r="F701" s="2" t="s">
        <v>4113</v>
      </c>
      <c r="G701" s="2" t="s">
        <v>4114</v>
      </c>
      <c r="H701" s="2" t="s">
        <v>1218</v>
      </c>
      <c r="I701" s="2" t="s">
        <v>182</v>
      </c>
      <c r="J701" s="2" t="s">
        <v>71</v>
      </c>
      <c r="K701" s="2" t="s">
        <v>72</v>
      </c>
      <c r="L701" s="2" t="s">
        <v>4115</v>
      </c>
      <c r="M701" s="2" t="s">
        <v>4116</v>
      </c>
    </row>
    <row r="702" customFormat="false" ht="15" hidden="false" customHeight="false" outlineLevel="0" collapsed="false">
      <c r="A702" s="2" t="s">
        <v>4117</v>
      </c>
      <c r="B702" s="3" t="s">
        <v>4118</v>
      </c>
      <c r="C702" s="2"/>
      <c r="D702" s="2" t="s">
        <v>15</v>
      </c>
      <c r="E702" s="2" t="s">
        <v>16</v>
      </c>
      <c r="F702" s="2" t="s">
        <v>4119</v>
      </c>
      <c r="G702" s="2" t="s">
        <v>4120</v>
      </c>
      <c r="H702" s="2" t="s">
        <v>47</v>
      </c>
      <c r="I702" s="2" t="s">
        <v>138</v>
      </c>
      <c r="J702" s="2" t="s">
        <v>71</v>
      </c>
      <c r="K702" s="2" t="s">
        <v>72</v>
      </c>
      <c r="L702" s="2" t="s">
        <v>4121</v>
      </c>
      <c r="M702" s="2" t="s">
        <v>4122</v>
      </c>
    </row>
    <row r="703" customFormat="false" ht="15" hidden="false" customHeight="false" outlineLevel="0" collapsed="false">
      <c r="A703" s="2" t="s">
        <v>2933</v>
      </c>
      <c r="B703" s="3" t="s">
        <v>4123</v>
      </c>
      <c r="C703" s="2"/>
      <c r="D703" s="2" t="s">
        <v>43</v>
      </c>
      <c r="E703" s="2" t="s">
        <v>53</v>
      </c>
      <c r="F703" s="2" t="s">
        <v>4124</v>
      </c>
      <c r="G703" s="2" t="s">
        <v>4125</v>
      </c>
      <c r="H703" s="2" t="s">
        <v>4126</v>
      </c>
      <c r="I703" s="2" t="s">
        <v>138</v>
      </c>
      <c r="J703" s="2" t="s">
        <v>86</v>
      </c>
      <c r="K703" s="2" t="s">
        <v>87</v>
      </c>
      <c r="L703" s="2" t="s">
        <v>1765</v>
      </c>
      <c r="M703" s="2"/>
    </row>
    <row r="704" customFormat="false" ht="23.85" hidden="false" customHeight="false" outlineLevel="0" collapsed="false">
      <c r="A704" s="2" t="s">
        <v>4127</v>
      </c>
      <c r="B704" s="3" t="s">
        <v>4128</v>
      </c>
      <c r="C704" s="2" t="s">
        <v>4129</v>
      </c>
      <c r="D704" s="2" t="s">
        <v>82</v>
      </c>
      <c r="E704" s="2" t="s">
        <v>53</v>
      </c>
      <c r="F704" s="2" t="s">
        <v>4130</v>
      </c>
      <c r="G704" s="2" t="s">
        <v>4131</v>
      </c>
      <c r="H704" s="2" t="s">
        <v>675</v>
      </c>
      <c r="I704" s="2" t="s">
        <v>182</v>
      </c>
      <c r="J704" s="2" t="s">
        <v>86</v>
      </c>
      <c r="K704" s="2" t="s">
        <v>87</v>
      </c>
      <c r="L704" s="2" t="s">
        <v>4132</v>
      </c>
      <c r="M704" s="2"/>
    </row>
    <row r="705" customFormat="false" ht="15" hidden="false" customHeight="false" outlineLevel="0" collapsed="false">
      <c r="A705" s="2" t="s">
        <v>4133</v>
      </c>
      <c r="B705" s="3" t="s">
        <v>4134</v>
      </c>
      <c r="C705" s="2" t="s">
        <v>4135</v>
      </c>
      <c r="D705" s="2" t="s">
        <v>106</v>
      </c>
      <c r="E705" s="2" t="s">
        <v>16</v>
      </c>
      <c r="F705" s="2" t="s">
        <v>4136</v>
      </c>
      <c r="G705" s="2" t="s">
        <v>4137</v>
      </c>
      <c r="H705" s="2" t="s">
        <v>110</v>
      </c>
      <c r="I705" s="2" t="s">
        <v>111</v>
      </c>
      <c r="J705" s="2" t="s">
        <v>21</v>
      </c>
      <c r="K705" s="2" t="s">
        <v>22</v>
      </c>
      <c r="L705" s="2" t="s">
        <v>4138</v>
      </c>
      <c r="M705" s="2"/>
    </row>
    <row r="706" customFormat="false" ht="23.85" hidden="false" customHeight="false" outlineLevel="0" collapsed="false">
      <c r="A706" s="2" t="s">
        <v>4139</v>
      </c>
      <c r="B706" s="3" t="s">
        <v>4140</v>
      </c>
      <c r="C706" s="2"/>
      <c r="D706" s="2" t="s">
        <v>43</v>
      </c>
      <c r="E706" s="2" t="s">
        <v>53</v>
      </c>
      <c r="F706" s="2" t="s">
        <v>4141</v>
      </c>
      <c r="G706" s="2" t="s">
        <v>4142</v>
      </c>
      <c r="H706" s="2" t="s">
        <v>28</v>
      </c>
      <c r="I706" s="2" t="s">
        <v>111</v>
      </c>
      <c r="J706" s="2" t="s">
        <v>86</v>
      </c>
      <c r="K706" s="2" t="s">
        <v>87</v>
      </c>
      <c r="L706" s="2" t="s">
        <v>4143</v>
      </c>
      <c r="M706" s="2"/>
    </row>
    <row r="707" customFormat="false" ht="15" hidden="false" customHeight="false" outlineLevel="0" collapsed="false">
      <c r="A707" s="2" t="s">
        <v>4144</v>
      </c>
      <c r="B707" s="3" t="s">
        <v>4145</v>
      </c>
      <c r="C707" s="2" t="s">
        <v>4146</v>
      </c>
      <c r="D707" s="2" t="s">
        <v>82</v>
      </c>
      <c r="E707" s="2" t="s">
        <v>53</v>
      </c>
      <c r="F707" s="2" t="s">
        <v>4147</v>
      </c>
      <c r="G707" s="2" t="s">
        <v>4148</v>
      </c>
      <c r="H707" s="2" t="s">
        <v>47</v>
      </c>
      <c r="I707" s="2" t="s">
        <v>85</v>
      </c>
      <c r="J707" s="2" t="s">
        <v>86</v>
      </c>
      <c r="K707" s="2" t="s">
        <v>72</v>
      </c>
      <c r="L707" s="2"/>
      <c r="M707" s="2"/>
    </row>
    <row r="708" customFormat="false" ht="15" hidden="false" customHeight="false" outlineLevel="0" collapsed="false">
      <c r="A708" s="2" t="s">
        <v>4149</v>
      </c>
      <c r="B708" s="3" t="s">
        <v>4150</v>
      </c>
      <c r="C708" s="2" t="s">
        <v>4151</v>
      </c>
      <c r="D708" s="2" t="s">
        <v>106</v>
      </c>
      <c r="E708" s="2" t="s">
        <v>53</v>
      </c>
      <c r="F708" s="2" t="s">
        <v>4152</v>
      </c>
      <c r="G708" s="2" t="s">
        <v>4153</v>
      </c>
      <c r="H708" s="2" t="s">
        <v>110</v>
      </c>
      <c r="I708" s="2" t="s">
        <v>111</v>
      </c>
      <c r="J708" s="2" t="s">
        <v>21</v>
      </c>
      <c r="K708" s="2" t="s">
        <v>22</v>
      </c>
      <c r="L708" s="2" t="s">
        <v>4154</v>
      </c>
      <c r="M708" s="2"/>
    </row>
    <row r="709" customFormat="false" ht="23.85" hidden="false" customHeight="false" outlineLevel="0" collapsed="false">
      <c r="A709" s="2" t="s">
        <v>4155</v>
      </c>
      <c r="B709" s="3" t="s">
        <v>4156</v>
      </c>
      <c r="C709" s="2" t="s">
        <v>4157</v>
      </c>
      <c r="D709" s="2" t="s">
        <v>179</v>
      </c>
      <c r="E709" s="2" t="s">
        <v>53</v>
      </c>
      <c r="F709" s="2" t="s">
        <v>4158</v>
      </c>
      <c r="G709" s="2" t="s">
        <v>4159</v>
      </c>
      <c r="H709" s="2" t="s">
        <v>329</v>
      </c>
      <c r="I709" s="2" t="s">
        <v>182</v>
      </c>
      <c r="J709" s="2" t="s">
        <v>86</v>
      </c>
      <c r="K709" s="2" t="s">
        <v>87</v>
      </c>
      <c r="L709" s="2" t="s">
        <v>4160</v>
      </c>
      <c r="M709" s="2"/>
    </row>
    <row r="710" customFormat="false" ht="23.85" hidden="false" customHeight="false" outlineLevel="0" collapsed="false">
      <c r="A710" s="2" t="s">
        <v>4161</v>
      </c>
      <c r="B710" s="3" t="s">
        <v>4162</v>
      </c>
      <c r="C710" s="2" t="s">
        <v>4163</v>
      </c>
      <c r="D710" s="2" t="s">
        <v>106</v>
      </c>
      <c r="E710" s="2" t="s">
        <v>53</v>
      </c>
      <c r="F710" s="2" t="s">
        <v>4164</v>
      </c>
      <c r="G710" s="2" t="s">
        <v>4165</v>
      </c>
      <c r="H710" s="2" t="s">
        <v>110</v>
      </c>
      <c r="I710" s="2" t="s">
        <v>256</v>
      </c>
      <c r="J710" s="2" t="s">
        <v>21</v>
      </c>
      <c r="K710" s="2" t="s">
        <v>22</v>
      </c>
      <c r="L710" s="2" t="s">
        <v>4166</v>
      </c>
      <c r="M710" s="2"/>
    </row>
    <row r="711" customFormat="false" ht="15" hidden="false" customHeight="false" outlineLevel="0" collapsed="false">
      <c r="A711" s="2" t="s">
        <v>1925</v>
      </c>
      <c r="B711" s="3" t="s">
        <v>4167</v>
      </c>
      <c r="C711" s="2" t="s">
        <v>4168</v>
      </c>
      <c r="D711" s="2" t="s">
        <v>82</v>
      </c>
      <c r="E711" s="2" t="s">
        <v>208</v>
      </c>
      <c r="F711" s="2" t="s">
        <v>4169</v>
      </c>
      <c r="G711" s="2" t="s">
        <v>4170</v>
      </c>
      <c r="H711" s="2" t="s">
        <v>47</v>
      </c>
      <c r="I711" s="2" t="s">
        <v>48</v>
      </c>
      <c r="J711" s="2" t="s">
        <v>21</v>
      </c>
      <c r="K711" s="2" t="s">
        <v>72</v>
      </c>
      <c r="L711" s="2" t="s">
        <v>4171</v>
      </c>
      <c r="M711" s="2" t="s">
        <v>4172</v>
      </c>
    </row>
    <row r="712" customFormat="false" ht="15" hidden="false" customHeight="false" outlineLevel="0" collapsed="false">
      <c r="A712" s="2" t="s">
        <v>4173</v>
      </c>
      <c r="B712" s="3" t="s">
        <v>4174</v>
      </c>
      <c r="C712" s="2"/>
      <c r="D712" s="2" t="s">
        <v>15</v>
      </c>
      <c r="E712" s="2" t="s">
        <v>116</v>
      </c>
      <c r="F712" s="2" t="s">
        <v>4175</v>
      </c>
      <c r="G712" s="2" t="s">
        <v>4176</v>
      </c>
      <c r="H712" s="2" t="s">
        <v>47</v>
      </c>
      <c r="I712" s="2" t="s">
        <v>85</v>
      </c>
      <c r="J712" s="2" t="s">
        <v>71</v>
      </c>
      <c r="K712" s="2" t="s">
        <v>72</v>
      </c>
      <c r="L712" s="2" t="s">
        <v>4177</v>
      </c>
      <c r="M712" s="2"/>
    </row>
    <row r="713" customFormat="false" ht="15" hidden="false" customHeight="false" outlineLevel="0" collapsed="false">
      <c r="A713" s="2" t="s">
        <v>705</v>
      </c>
      <c r="B713" s="3" t="s">
        <v>4178</v>
      </c>
      <c r="C713" s="2"/>
      <c r="D713" s="2" t="s">
        <v>106</v>
      </c>
      <c r="E713" s="2" t="s">
        <v>53</v>
      </c>
      <c r="F713" s="2" t="s">
        <v>4179</v>
      </c>
      <c r="G713" s="2" t="s">
        <v>4180</v>
      </c>
      <c r="H713" s="2" t="s">
        <v>110</v>
      </c>
      <c r="I713" s="2" t="s">
        <v>48</v>
      </c>
      <c r="J713" s="2" t="s">
        <v>71</v>
      </c>
      <c r="K713" s="2" t="s">
        <v>72</v>
      </c>
      <c r="L713" s="2" t="s">
        <v>4181</v>
      </c>
      <c r="M713" s="2"/>
    </row>
    <row r="714" customFormat="false" ht="15" hidden="false" customHeight="false" outlineLevel="0" collapsed="false">
      <c r="A714" s="2" t="s">
        <v>4182</v>
      </c>
      <c r="B714" s="3" t="s">
        <v>4183</v>
      </c>
      <c r="C714" s="2" t="s">
        <v>4184</v>
      </c>
      <c r="D714" s="2" t="s">
        <v>251</v>
      </c>
      <c r="E714" s="2" t="s">
        <v>252</v>
      </c>
      <c r="F714" s="2" t="s">
        <v>4185</v>
      </c>
      <c r="G714" s="2" t="s">
        <v>4186</v>
      </c>
      <c r="H714" s="2" t="s">
        <v>255</v>
      </c>
      <c r="I714" s="2" t="s">
        <v>256</v>
      </c>
      <c r="J714" s="2" t="s">
        <v>21</v>
      </c>
      <c r="K714" s="2" t="s">
        <v>22</v>
      </c>
      <c r="L714" s="2" t="s">
        <v>4187</v>
      </c>
      <c r="M714" s="2"/>
    </row>
    <row r="715" customFormat="false" ht="23.85" hidden="false" customHeight="false" outlineLevel="0" collapsed="false">
      <c r="A715" s="2" t="s">
        <v>4188</v>
      </c>
      <c r="B715" s="3" t="s">
        <v>4189</v>
      </c>
      <c r="C715" s="2" t="s">
        <v>4190</v>
      </c>
      <c r="D715" s="2" t="s">
        <v>15</v>
      </c>
      <c r="E715" s="2" t="s">
        <v>99</v>
      </c>
      <c r="F715" s="2" t="s">
        <v>4191</v>
      </c>
      <c r="G715" s="2" t="s">
        <v>4192</v>
      </c>
      <c r="H715" s="2" t="s">
        <v>47</v>
      </c>
      <c r="I715" s="2" t="s">
        <v>119</v>
      </c>
      <c r="J715" s="2" t="s">
        <v>71</v>
      </c>
      <c r="K715" s="2" t="s">
        <v>22</v>
      </c>
      <c r="L715" s="2" t="s">
        <v>1932</v>
      </c>
      <c r="M715" s="2"/>
    </row>
    <row r="716" customFormat="false" ht="23.85" hidden="false" customHeight="false" outlineLevel="0" collapsed="false">
      <c r="A716" s="2" t="s">
        <v>4193</v>
      </c>
      <c r="B716" s="3" t="s">
        <v>4194</v>
      </c>
      <c r="C716" s="2" t="s">
        <v>4195</v>
      </c>
      <c r="D716" s="2" t="s">
        <v>15</v>
      </c>
      <c r="E716" s="2" t="s">
        <v>99</v>
      </c>
      <c r="F716" s="2" t="s">
        <v>4196</v>
      </c>
      <c r="G716" s="2" t="s">
        <v>4197</v>
      </c>
      <c r="H716" s="2" t="s">
        <v>1931</v>
      </c>
      <c r="I716" s="2" t="s">
        <v>119</v>
      </c>
      <c r="J716" s="2" t="s">
        <v>86</v>
      </c>
      <c r="K716" s="2" t="s">
        <v>87</v>
      </c>
      <c r="L716" s="2" t="s">
        <v>4198</v>
      </c>
      <c r="M716" s="2"/>
    </row>
    <row r="717" customFormat="false" ht="23.85" hidden="false" customHeight="false" outlineLevel="0" collapsed="false">
      <c r="A717" s="2" t="s">
        <v>4071</v>
      </c>
      <c r="B717" s="3" t="s">
        <v>4199</v>
      </c>
      <c r="C717" s="2"/>
      <c r="D717" s="2" t="s">
        <v>34</v>
      </c>
      <c r="E717" s="2" t="s">
        <v>4200</v>
      </c>
      <c r="F717" s="2" t="s">
        <v>4201</v>
      </c>
      <c r="G717" s="2" t="s">
        <v>4202</v>
      </c>
      <c r="H717" s="2" t="s">
        <v>624</v>
      </c>
      <c r="I717" s="2" t="s">
        <v>20</v>
      </c>
      <c r="J717" s="2" t="s">
        <v>86</v>
      </c>
      <c r="K717" s="2" t="s">
        <v>87</v>
      </c>
      <c r="L717" s="2" t="s">
        <v>4203</v>
      </c>
      <c r="M717" s="2" t="s">
        <v>4204</v>
      </c>
    </row>
    <row r="718" customFormat="false" ht="23.85" hidden="false" customHeight="false" outlineLevel="0" collapsed="false">
      <c r="A718" s="2" t="s">
        <v>4205</v>
      </c>
      <c r="B718" s="3" t="s">
        <v>4206</v>
      </c>
      <c r="C718" s="2" t="s">
        <v>4207</v>
      </c>
      <c r="D718" s="2" t="s">
        <v>43</v>
      </c>
      <c r="E718" s="2" t="s">
        <v>53</v>
      </c>
      <c r="F718" s="2" t="s">
        <v>4208</v>
      </c>
      <c r="G718" s="2" t="s">
        <v>4209</v>
      </c>
      <c r="H718" s="2" t="s">
        <v>4210</v>
      </c>
      <c r="I718" s="2" t="s">
        <v>78</v>
      </c>
      <c r="J718" s="2" t="s">
        <v>71</v>
      </c>
      <c r="K718" s="2" t="s">
        <v>72</v>
      </c>
      <c r="L718" s="2" t="s">
        <v>4211</v>
      </c>
      <c r="M718" s="2" t="s">
        <v>4212</v>
      </c>
    </row>
    <row r="719" customFormat="false" ht="23.85" hidden="false" customHeight="false" outlineLevel="0" collapsed="false">
      <c r="A719" s="2" t="s">
        <v>4213</v>
      </c>
      <c r="B719" s="3" t="s">
        <v>4214</v>
      </c>
      <c r="C719" s="2"/>
      <c r="D719" s="2" t="s">
        <v>179</v>
      </c>
      <c r="E719" s="2" t="s">
        <v>53</v>
      </c>
      <c r="F719" s="2" t="s">
        <v>4215</v>
      </c>
      <c r="G719" s="2" t="s">
        <v>4216</v>
      </c>
      <c r="H719" s="2" t="s">
        <v>4217</v>
      </c>
      <c r="I719" s="2" t="s">
        <v>182</v>
      </c>
      <c r="J719" s="2" t="s">
        <v>86</v>
      </c>
      <c r="K719" s="2" t="s">
        <v>87</v>
      </c>
      <c r="L719" s="2" t="s">
        <v>4218</v>
      </c>
      <c r="M719" s="2" t="s">
        <v>4219</v>
      </c>
    </row>
    <row r="720" customFormat="false" ht="23.85" hidden="false" customHeight="false" outlineLevel="0" collapsed="false">
      <c r="A720" s="2" t="s">
        <v>4220</v>
      </c>
      <c r="B720" s="3" t="s">
        <v>4221</v>
      </c>
      <c r="C720" s="2" t="s">
        <v>4222</v>
      </c>
      <c r="D720" s="2" t="s">
        <v>223</v>
      </c>
      <c r="E720" s="2" t="s">
        <v>535</v>
      </c>
      <c r="F720" s="2" t="s">
        <v>4223</v>
      </c>
      <c r="G720" s="2" t="s">
        <v>4224</v>
      </c>
      <c r="H720" s="2" t="s">
        <v>4225</v>
      </c>
      <c r="I720" s="2" t="s">
        <v>78</v>
      </c>
      <c r="J720" s="2" t="s">
        <v>71</v>
      </c>
      <c r="K720" s="2" t="s">
        <v>72</v>
      </c>
      <c r="L720" s="2" t="s">
        <v>4226</v>
      </c>
      <c r="M720" s="2"/>
    </row>
    <row r="721" customFormat="false" ht="23.85" hidden="false" customHeight="false" outlineLevel="0" collapsed="false">
      <c r="A721" s="2" t="s">
        <v>4227</v>
      </c>
      <c r="B721" s="3" t="s">
        <v>4228</v>
      </c>
      <c r="C721" s="2"/>
      <c r="D721" s="2" t="s">
        <v>231</v>
      </c>
      <c r="E721" s="2" t="s">
        <v>535</v>
      </c>
      <c r="F721" s="2" t="s">
        <v>4229</v>
      </c>
      <c r="G721" s="2" t="s">
        <v>4230</v>
      </c>
      <c r="H721" s="2" t="s">
        <v>226</v>
      </c>
      <c r="I721" s="2" t="s">
        <v>78</v>
      </c>
      <c r="J721" s="2" t="s">
        <v>71</v>
      </c>
      <c r="K721" s="2" t="s">
        <v>72</v>
      </c>
      <c r="L721" s="2" t="s">
        <v>2870</v>
      </c>
      <c r="M721" s="2" t="s">
        <v>4231</v>
      </c>
    </row>
    <row r="722" customFormat="false" ht="15" hidden="false" customHeight="false" outlineLevel="0" collapsed="false">
      <c r="A722" s="2" t="s">
        <v>4232</v>
      </c>
      <c r="B722" s="3" t="s">
        <v>4233</v>
      </c>
      <c r="C722" s="2"/>
      <c r="D722" s="2" t="s">
        <v>238</v>
      </c>
      <c r="E722" s="2" t="s">
        <v>53</v>
      </c>
      <c r="F722" s="2" t="s">
        <v>4234</v>
      </c>
      <c r="G722" s="2" t="s">
        <v>4235</v>
      </c>
      <c r="H722" s="2" t="s">
        <v>410</v>
      </c>
      <c r="I722" s="2" t="s">
        <v>111</v>
      </c>
      <c r="J722" s="2" t="s">
        <v>71</v>
      </c>
      <c r="K722" s="2" t="s">
        <v>87</v>
      </c>
      <c r="L722" s="2" t="s">
        <v>4236</v>
      </c>
      <c r="M722" s="2" t="s">
        <v>4237</v>
      </c>
    </row>
    <row r="723" customFormat="false" ht="23.85" hidden="false" customHeight="false" outlineLevel="0" collapsed="false">
      <c r="A723" s="2" t="s">
        <v>4238</v>
      </c>
      <c r="B723" s="3" t="s">
        <v>4239</v>
      </c>
      <c r="C723" s="2" t="s">
        <v>4240</v>
      </c>
      <c r="D723" s="2" t="s">
        <v>238</v>
      </c>
      <c r="E723" s="2" t="s">
        <v>99</v>
      </c>
      <c r="F723" s="2" t="s">
        <v>4241</v>
      </c>
      <c r="G723" s="2" t="s">
        <v>4242</v>
      </c>
      <c r="H723" s="2" t="s">
        <v>226</v>
      </c>
      <c r="I723" s="2" t="s">
        <v>119</v>
      </c>
      <c r="J723" s="2" t="s">
        <v>71</v>
      </c>
      <c r="K723" s="2" t="s">
        <v>72</v>
      </c>
      <c r="L723" s="2" t="s">
        <v>4243</v>
      </c>
      <c r="M723" s="2"/>
    </row>
    <row r="724" customFormat="false" ht="23.85" hidden="false" customHeight="false" outlineLevel="0" collapsed="false">
      <c r="A724" s="2" t="s">
        <v>4244</v>
      </c>
      <c r="B724" s="3" t="s">
        <v>4245</v>
      </c>
      <c r="C724" s="2" t="s">
        <v>4246</v>
      </c>
      <c r="D724" s="2" t="s">
        <v>106</v>
      </c>
      <c r="E724" s="2" t="s">
        <v>53</v>
      </c>
      <c r="F724" s="2" t="s">
        <v>4247</v>
      </c>
      <c r="G724" s="2" t="s">
        <v>4248</v>
      </c>
      <c r="H724" s="2" t="s">
        <v>110</v>
      </c>
      <c r="I724" s="2" t="s">
        <v>256</v>
      </c>
      <c r="J724" s="2" t="s">
        <v>21</v>
      </c>
      <c r="K724" s="2" t="s">
        <v>22</v>
      </c>
      <c r="L724" s="2" t="s">
        <v>4249</v>
      </c>
      <c r="M724" s="2"/>
    </row>
    <row r="725" customFormat="false" ht="23.85" hidden="false" customHeight="false" outlineLevel="0" collapsed="false">
      <c r="A725" s="2" t="s">
        <v>4250</v>
      </c>
      <c r="B725" s="3" t="s">
        <v>4251</v>
      </c>
      <c r="C725" s="2"/>
      <c r="D725" s="2" t="s">
        <v>15</v>
      </c>
      <c r="E725" s="2" t="s">
        <v>188</v>
      </c>
      <c r="F725" s="2" t="s">
        <v>4252</v>
      </c>
      <c r="G725" s="2" t="s">
        <v>4253</v>
      </c>
      <c r="H725" s="2" t="s">
        <v>47</v>
      </c>
      <c r="I725" s="2" t="s">
        <v>63</v>
      </c>
      <c r="J725" s="2" t="s">
        <v>21</v>
      </c>
      <c r="K725" s="2" t="s">
        <v>22</v>
      </c>
      <c r="L725" s="2" t="s">
        <v>191</v>
      </c>
      <c r="M725" s="2"/>
    </row>
    <row r="726" customFormat="false" ht="23.85" hidden="false" customHeight="false" outlineLevel="0" collapsed="false">
      <c r="A726" s="2" t="s">
        <v>4254</v>
      </c>
      <c r="B726" s="3" t="s">
        <v>4255</v>
      </c>
      <c r="C726" s="2"/>
      <c r="D726" s="2" t="s">
        <v>15</v>
      </c>
      <c r="E726" s="2" t="s">
        <v>99</v>
      </c>
      <c r="F726" s="2" t="s">
        <v>4256</v>
      </c>
      <c r="G726" s="2" t="s">
        <v>4257</v>
      </c>
      <c r="H726" s="2" t="s">
        <v>47</v>
      </c>
      <c r="I726" s="2" t="s">
        <v>138</v>
      </c>
      <c r="J726" s="2" t="s">
        <v>86</v>
      </c>
      <c r="K726" s="2" t="s">
        <v>72</v>
      </c>
      <c r="L726" s="2" t="s">
        <v>1955</v>
      </c>
      <c r="M726" s="2" t="s">
        <v>4258</v>
      </c>
    </row>
    <row r="727" customFormat="false" ht="15" hidden="false" customHeight="false" outlineLevel="0" collapsed="false">
      <c r="A727" s="2" t="s">
        <v>4259</v>
      </c>
      <c r="B727" s="3" t="s">
        <v>4260</v>
      </c>
      <c r="C727" s="2"/>
      <c r="D727" s="2" t="s">
        <v>15</v>
      </c>
      <c r="E727" s="2" t="s">
        <v>16</v>
      </c>
      <c r="F727" s="2" t="s">
        <v>4261</v>
      </c>
      <c r="G727" s="2" t="s">
        <v>4262</v>
      </c>
      <c r="H727" s="2" t="s">
        <v>624</v>
      </c>
      <c r="I727" s="2" t="s">
        <v>138</v>
      </c>
      <c r="J727" s="2" t="s">
        <v>86</v>
      </c>
      <c r="K727" s="2" t="s">
        <v>72</v>
      </c>
      <c r="L727" s="2" t="s">
        <v>4263</v>
      </c>
      <c r="M727" s="2"/>
    </row>
    <row r="728" customFormat="false" ht="15" hidden="false" customHeight="false" outlineLevel="0" collapsed="false">
      <c r="A728" s="2" t="s">
        <v>4264</v>
      </c>
      <c r="B728" s="3" t="s">
        <v>4265</v>
      </c>
      <c r="C728" s="2" t="s">
        <v>4266</v>
      </c>
      <c r="D728" s="2" t="s">
        <v>15</v>
      </c>
      <c r="E728" s="2" t="s">
        <v>99</v>
      </c>
      <c r="F728" s="2" t="s">
        <v>4267</v>
      </c>
      <c r="G728" s="2" t="s">
        <v>4268</v>
      </c>
      <c r="H728" s="2" t="s">
        <v>2932</v>
      </c>
      <c r="I728" s="2" t="s">
        <v>138</v>
      </c>
      <c r="J728" s="2" t="s">
        <v>86</v>
      </c>
      <c r="K728" s="2" t="s">
        <v>72</v>
      </c>
      <c r="L728" s="2" t="s">
        <v>4269</v>
      </c>
      <c r="M728" s="2"/>
    </row>
    <row r="729" customFormat="false" ht="23.85" hidden="false" customHeight="false" outlineLevel="0" collapsed="false">
      <c r="A729" s="2" t="s">
        <v>4270</v>
      </c>
      <c r="B729" s="3" t="s">
        <v>4271</v>
      </c>
      <c r="C729" s="2"/>
      <c r="D729" s="2" t="s">
        <v>82</v>
      </c>
      <c r="E729" s="2" t="s">
        <v>4272</v>
      </c>
      <c r="F729" s="2" t="s">
        <v>4273</v>
      </c>
      <c r="G729" s="2" t="s">
        <v>4274</v>
      </c>
      <c r="H729" s="2" t="s">
        <v>47</v>
      </c>
      <c r="I729" s="2" t="s">
        <v>20</v>
      </c>
      <c r="J729" s="2" t="s">
        <v>71</v>
      </c>
      <c r="K729" s="2" t="s">
        <v>72</v>
      </c>
      <c r="L729" s="2" t="s">
        <v>4275</v>
      </c>
      <c r="M729" s="2"/>
    </row>
    <row r="730" customFormat="false" ht="15" hidden="false" customHeight="false" outlineLevel="0" collapsed="false">
      <c r="A730" s="2" t="s">
        <v>4276</v>
      </c>
      <c r="B730" s="3" t="s">
        <v>4277</v>
      </c>
      <c r="C730" s="2"/>
      <c r="D730" s="2" t="s">
        <v>15</v>
      </c>
      <c r="E730" s="2" t="s">
        <v>591</v>
      </c>
      <c r="F730" s="2" t="s">
        <v>4278</v>
      </c>
      <c r="G730" s="2" t="s">
        <v>4279</v>
      </c>
      <c r="H730" s="2" t="s">
        <v>47</v>
      </c>
      <c r="I730" s="2" t="s">
        <v>63</v>
      </c>
      <c r="J730" s="2" t="s">
        <v>71</v>
      </c>
      <c r="K730" s="2" t="s">
        <v>72</v>
      </c>
      <c r="L730" s="2" t="s">
        <v>4280</v>
      </c>
      <c r="M730" s="2"/>
    </row>
    <row r="731" customFormat="false" ht="23.85" hidden="false" customHeight="false" outlineLevel="0" collapsed="false">
      <c r="A731" s="2" t="s">
        <v>4281</v>
      </c>
      <c r="B731" s="3" t="s">
        <v>4282</v>
      </c>
      <c r="C731" s="2" t="s">
        <v>4283</v>
      </c>
      <c r="D731" s="2" t="s">
        <v>106</v>
      </c>
      <c r="E731" s="2" t="s">
        <v>16</v>
      </c>
      <c r="F731" s="2" t="s">
        <v>4284</v>
      </c>
      <c r="G731" s="2" t="s">
        <v>4285</v>
      </c>
      <c r="H731" s="2" t="s">
        <v>410</v>
      </c>
      <c r="I731" s="2" t="s">
        <v>111</v>
      </c>
      <c r="J731" s="2" t="s">
        <v>21</v>
      </c>
      <c r="K731" s="2" t="s">
        <v>22</v>
      </c>
      <c r="L731" s="2" t="s">
        <v>4133</v>
      </c>
      <c r="M731" s="2" t="s">
        <v>4286</v>
      </c>
    </row>
    <row r="732" customFormat="false" ht="23.85" hidden="false" customHeight="false" outlineLevel="0" collapsed="false">
      <c r="A732" s="2" t="s">
        <v>4287</v>
      </c>
      <c r="B732" s="3" t="s">
        <v>3772</v>
      </c>
      <c r="C732" s="2"/>
      <c r="D732" s="2" t="s">
        <v>82</v>
      </c>
      <c r="E732" s="2" t="s">
        <v>591</v>
      </c>
      <c r="F732" s="2" t="s">
        <v>4288</v>
      </c>
      <c r="G732" s="2" t="s">
        <v>4289</v>
      </c>
      <c r="H732" s="2" t="s">
        <v>47</v>
      </c>
      <c r="I732" s="2" t="s">
        <v>63</v>
      </c>
      <c r="J732" s="2" t="s">
        <v>21</v>
      </c>
      <c r="K732" s="2" t="s">
        <v>72</v>
      </c>
      <c r="L732" s="2" t="s">
        <v>4290</v>
      </c>
      <c r="M732" s="2"/>
    </row>
    <row r="733" customFormat="false" ht="15" hidden="false" customHeight="false" outlineLevel="0" collapsed="false">
      <c r="A733" s="2" t="s">
        <v>4291</v>
      </c>
      <c r="B733" s="3" t="s">
        <v>4292</v>
      </c>
      <c r="C733" s="2"/>
      <c r="D733" s="2" t="s">
        <v>238</v>
      </c>
      <c r="E733" s="2" t="s">
        <v>53</v>
      </c>
      <c r="F733" s="2" t="s">
        <v>4293</v>
      </c>
      <c r="G733" s="2" t="s">
        <v>4294</v>
      </c>
      <c r="H733" s="2" t="s">
        <v>241</v>
      </c>
      <c r="I733" s="2" t="s">
        <v>48</v>
      </c>
      <c r="J733" s="2" t="s">
        <v>71</v>
      </c>
      <c r="K733" s="2" t="s">
        <v>22</v>
      </c>
      <c r="L733" s="2" t="s">
        <v>4295</v>
      </c>
      <c r="M733" s="2"/>
    </row>
    <row r="734" customFormat="false" ht="23.85" hidden="false" customHeight="false" outlineLevel="0" collapsed="false">
      <c r="A734" s="2" t="s">
        <v>4296</v>
      </c>
      <c r="B734" s="3" t="s">
        <v>4297</v>
      </c>
      <c r="C734" s="2" t="s">
        <v>4298</v>
      </c>
      <c r="D734" s="2" t="s">
        <v>15</v>
      </c>
      <c r="E734" s="2" t="s">
        <v>99</v>
      </c>
      <c r="F734" s="2" t="s">
        <v>4299</v>
      </c>
      <c r="G734" s="2" t="s">
        <v>4300</v>
      </c>
      <c r="H734" s="2" t="s">
        <v>1013</v>
      </c>
      <c r="I734" s="2" t="s">
        <v>508</v>
      </c>
      <c r="J734" s="2" t="s">
        <v>71</v>
      </c>
      <c r="K734" s="2" t="s">
        <v>87</v>
      </c>
      <c r="L734" s="2" t="s">
        <v>4301</v>
      </c>
      <c r="M734" s="2" t="s">
        <v>4302</v>
      </c>
    </row>
    <row r="735" customFormat="false" ht="23.85" hidden="false" customHeight="false" outlineLevel="0" collapsed="false">
      <c r="A735" s="2" t="s">
        <v>4303</v>
      </c>
      <c r="B735" s="3" t="s">
        <v>4304</v>
      </c>
      <c r="C735" s="2"/>
      <c r="D735" s="2" t="s">
        <v>238</v>
      </c>
      <c r="E735" s="2" t="s">
        <v>53</v>
      </c>
      <c r="F735" s="2" t="s">
        <v>4305</v>
      </c>
      <c r="G735" s="2" t="s">
        <v>4306</v>
      </c>
      <c r="H735" s="2" t="s">
        <v>47</v>
      </c>
      <c r="I735" s="2" t="s">
        <v>119</v>
      </c>
      <c r="J735" s="2" t="s">
        <v>86</v>
      </c>
      <c r="K735" s="2" t="s">
        <v>72</v>
      </c>
      <c r="L735" s="2" t="s">
        <v>2523</v>
      </c>
      <c r="M735" s="2"/>
    </row>
    <row r="736" customFormat="false" ht="23.85" hidden="false" customHeight="false" outlineLevel="0" collapsed="false">
      <c r="A736" s="2" t="s">
        <v>4307</v>
      </c>
      <c r="B736" s="3" t="s">
        <v>4308</v>
      </c>
      <c r="C736" s="2"/>
      <c r="D736" s="2" t="s">
        <v>52</v>
      </c>
      <c r="E736" s="2" t="s">
        <v>53</v>
      </c>
      <c r="F736" s="2" t="s">
        <v>4309</v>
      </c>
      <c r="G736" s="2" t="s">
        <v>4310</v>
      </c>
      <c r="H736" s="2" t="s">
        <v>866</v>
      </c>
      <c r="I736" s="2" t="s">
        <v>508</v>
      </c>
      <c r="J736" s="2" t="s">
        <v>86</v>
      </c>
      <c r="K736" s="2" t="s">
        <v>72</v>
      </c>
      <c r="L736" s="2" t="s">
        <v>4311</v>
      </c>
      <c r="M736" s="2"/>
    </row>
    <row r="737" customFormat="false" ht="15" hidden="false" customHeight="false" outlineLevel="0" collapsed="false">
      <c r="A737" s="2" t="s">
        <v>4312</v>
      </c>
      <c r="B737" s="3" t="s">
        <v>4313</v>
      </c>
      <c r="C737" s="2"/>
      <c r="D737" s="2" t="s">
        <v>223</v>
      </c>
      <c r="E737" s="2" t="s">
        <v>53</v>
      </c>
      <c r="F737" s="2" t="s">
        <v>4314</v>
      </c>
      <c r="G737" s="2" t="s">
        <v>4315</v>
      </c>
      <c r="H737" s="2" t="s">
        <v>226</v>
      </c>
      <c r="I737" s="2" t="s">
        <v>29</v>
      </c>
      <c r="J737" s="2" t="s">
        <v>71</v>
      </c>
      <c r="K737" s="2" t="s">
        <v>72</v>
      </c>
      <c r="L737" s="2" t="s">
        <v>4316</v>
      </c>
      <c r="M737" s="2" t="s">
        <v>4317</v>
      </c>
    </row>
    <row r="738" customFormat="false" ht="23.85" hidden="false" customHeight="false" outlineLevel="0" collapsed="false">
      <c r="A738" s="2" t="s">
        <v>3378</v>
      </c>
      <c r="B738" s="3" t="s">
        <v>4318</v>
      </c>
      <c r="C738" s="2" t="s">
        <v>4319</v>
      </c>
      <c r="D738" s="2" t="s">
        <v>106</v>
      </c>
      <c r="E738" s="2" t="s">
        <v>4320</v>
      </c>
      <c r="F738" s="2" t="s">
        <v>4321</v>
      </c>
      <c r="G738" s="2" t="s">
        <v>4322</v>
      </c>
      <c r="H738" s="2" t="s">
        <v>905</v>
      </c>
      <c r="I738" s="2" t="s">
        <v>48</v>
      </c>
      <c r="J738" s="2" t="s">
        <v>21</v>
      </c>
      <c r="K738" s="2" t="s">
        <v>22</v>
      </c>
      <c r="L738" s="2" t="s">
        <v>4323</v>
      </c>
      <c r="M738" s="2"/>
    </row>
    <row r="739" customFormat="false" ht="23.85" hidden="false" customHeight="false" outlineLevel="0" collapsed="false">
      <c r="A739" s="2" t="s">
        <v>4324</v>
      </c>
      <c r="B739" s="3" t="s">
        <v>4325</v>
      </c>
      <c r="C739" s="2"/>
      <c r="D739" s="2" t="s">
        <v>231</v>
      </c>
      <c r="E739" s="2" t="s">
        <v>53</v>
      </c>
      <c r="F739" s="2" t="s">
        <v>4326</v>
      </c>
      <c r="G739" s="2" t="s">
        <v>4327</v>
      </c>
      <c r="H739" s="2" t="s">
        <v>241</v>
      </c>
      <c r="I739" s="2" t="s">
        <v>78</v>
      </c>
      <c r="J739" s="2" t="s">
        <v>71</v>
      </c>
      <c r="K739" s="2" t="s">
        <v>87</v>
      </c>
      <c r="L739" s="2" t="s">
        <v>4328</v>
      </c>
      <c r="M739" s="2" t="s">
        <v>4329</v>
      </c>
    </row>
    <row r="740" customFormat="false" ht="23.85" hidden="false" customHeight="false" outlineLevel="0" collapsed="false">
      <c r="A740" s="2" t="s">
        <v>3170</v>
      </c>
      <c r="B740" s="3" t="s">
        <v>4330</v>
      </c>
      <c r="C740" s="2" t="s">
        <v>4331</v>
      </c>
      <c r="D740" s="2" t="s">
        <v>238</v>
      </c>
      <c r="E740" s="2" t="s">
        <v>53</v>
      </c>
      <c r="F740" s="2" t="s">
        <v>4332</v>
      </c>
      <c r="G740" s="2" t="s">
        <v>4333</v>
      </c>
      <c r="H740" s="2" t="s">
        <v>241</v>
      </c>
      <c r="I740" s="2" t="s">
        <v>78</v>
      </c>
      <c r="J740" s="2" t="s">
        <v>86</v>
      </c>
      <c r="K740" s="2" t="s">
        <v>72</v>
      </c>
      <c r="L740" s="2" t="s">
        <v>4334</v>
      </c>
      <c r="M740" s="2" t="s">
        <v>4335</v>
      </c>
    </row>
    <row r="741" customFormat="false" ht="23.85" hidden="false" customHeight="false" outlineLevel="0" collapsed="false">
      <c r="A741" s="2" t="s">
        <v>4336</v>
      </c>
      <c r="B741" s="3" t="s">
        <v>4337</v>
      </c>
      <c r="C741" s="2" t="s">
        <v>4338</v>
      </c>
      <c r="D741" s="2" t="s">
        <v>43</v>
      </c>
      <c r="E741" s="2" t="s">
        <v>53</v>
      </c>
      <c r="F741" s="2" t="s">
        <v>4339</v>
      </c>
      <c r="G741" s="2" t="s">
        <v>4340</v>
      </c>
      <c r="H741" s="2" t="s">
        <v>28</v>
      </c>
      <c r="I741" s="2" t="s">
        <v>111</v>
      </c>
      <c r="J741" s="2" t="s">
        <v>71</v>
      </c>
      <c r="K741" s="2" t="s">
        <v>72</v>
      </c>
      <c r="L741" s="2" t="s">
        <v>4341</v>
      </c>
      <c r="M741" s="2"/>
    </row>
    <row r="742" customFormat="false" ht="23.85" hidden="false" customHeight="false" outlineLevel="0" collapsed="false">
      <c r="A742" s="2" t="s">
        <v>4342</v>
      </c>
      <c r="B742" s="3" t="s">
        <v>4343</v>
      </c>
      <c r="C742" s="2"/>
      <c r="D742" s="2" t="s">
        <v>15</v>
      </c>
      <c r="E742" s="2" t="s">
        <v>535</v>
      </c>
      <c r="F742" s="2" t="s">
        <v>4344</v>
      </c>
      <c r="G742" s="2" t="s">
        <v>4345</v>
      </c>
      <c r="H742" s="2" t="s">
        <v>47</v>
      </c>
      <c r="I742" s="2" t="s">
        <v>48</v>
      </c>
      <c r="J742" s="2" t="s">
        <v>71</v>
      </c>
      <c r="K742" s="2" t="s">
        <v>72</v>
      </c>
      <c r="L742" s="2" t="s">
        <v>4346</v>
      </c>
      <c r="M742" s="2"/>
    </row>
    <row r="743" customFormat="false" ht="23.85" hidden="false" customHeight="false" outlineLevel="0" collapsed="false">
      <c r="A743" s="2" t="s">
        <v>4347</v>
      </c>
      <c r="B743" s="3" t="s">
        <v>4348</v>
      </c>
      <c r="C743" s="2" t="s">
        <v>4349</v>
      </c>
      <c r="D743" s="2" t="s">
        <v>43</v>
      </c>
      <c r="E743" s="2" t="s">
        <v>53</v>
      </c>
      <c r="F743" s="2" t="s">
        <v>4350</v>
      </c>
      <c r="G743" s="2" t="s">
        <v>4351</v>
      </c>
      <c r="H743" s="2" t="s">
        <v>197</v>
      </c>
      <c r="I743" s="2" t="s">
        <v>111</v>
      </c>
      <c r="J743" s="2" t="s">
        <v>21</v>
      </c>
      <c r="K743" s="2" t="s">
        <v>22</v>
      </c>
      <c r="L743" s="2" t="s">
        <v>4352</v>
      </c>
      <c r="M743" s="2"/>
    </row>
    <row r="744" customFormat="false" ht="15" hidden="false" customHeight="false" outlineLevel="0" collapsed="false">
      <c r="A744" s="2" t="s">
        <v>4353</v>
      </c>
      <c r="B744" s="3" t="s">
        <v>4354</v>
      </c>
      <c r="C744" s="2" t="s">
        <v>4355</v>
      </c>
      <c r="D744" s="2" t="s">
        <v>15</v>
      </c>
      <c r="E744" s="2" t="s">
        <v>2431</v>
      </c>
      <c r="F744" s="2" t="s">
        <v>4356</v>
      </c>
      <c r="G744" s="2" t="s">
        <v>4357</v>
      </c>
      <c r="H744" s="2" t="s">
        <v>47</v>
      </c>
      <c r="I744" s="2" t="s">
        <v>48</v>
      </c>
      <c r="J744" s="2" t="s">
        <v>71</v>
      </c>
      <c r="K744" s="2" t="s">
        <v>22</v>
      </c>
      <c r="L744" s="2" t="s">
        <v>4342</v>
      </c>
      <c r="M744" s="2"/>
    </row>
    <row r="745" customFormat="false" ht="23.85" hidden="false" customHeight="false" outlineLevel="0" collapsed="false">
      <c r="A745" s="2" t="s">
        <v>4358</v>
      </c>
      <c r="B745" s="3" t="s">
        <v>4359</v>
      </c>
      <c r="C745" s="2" t="s">
        <v>4360</v>
      </c>
      <c r="D745" s="2" t="s">
        <v>82</v>
      </c>
      <c r="E745" s="2" t="s">
        <v>535</v>
      </c>
      <c r="F745" s="2" t="s">
        <v>4361</v>
      </c>
      <c r="G745" s="2" t="s">
        <v>4362</v>
      </c>
      <c r="H745" s="2" t="s">
        <v>47</v>
      </c>
      <c r="I745" s="2" t="s">
        <v>48</v>
      </c>
      <c r="J745" s="2" t="s">
        <v>71</v>
      </c>
      <c r="K745" s="2" t="s">
        <v>72</v>
      </c>
      <c r="L745" s="2" t="s">
        <v>4363</v>
      </c>
      <c r="M745" s="2"/>
    </row>
    <row r="746" customFormat="false" ht="15" hidden="false" customHeight="false" outlineLevel="0" collapsed="false">
      <c r="A746" s="2" t="s">
        <v>4364</v>
      </c>
      <c r="B746" s="3" t="s">
        <v>4365</v>
      </c>
      <c r="C746" s="2"/>
      <c r="D746" s="2" t="s">
        <v>82</v>
      </c>
      <c r="E746" s="2" t="s">
        <v>535</v>
      </c>
      <c r="F746" s="2" t="s">
        <v>4366</v>
      </c>
      <c r="G746" s="2" t="s">
        <v>4367</v>
      </c>
      <c r="H746" s="2" t="s">
        <v>675</v>
      </c>
      <c r="I746" s="2" t="s">
        <v>63</v>
      </c>
      <c r="J746" s="2" t="s">
        <v>21</v>
      </c>
      <c r="K746" s="2" t="s">
        <v>22</v>
      </c>
      <c r="L746" s="2" t="s">
        <v>4368</v>
      </c>
      <c r="M746" s="2"/>
    </row>
    <row r="747" customFormat="false" ht="23.85" hidden="false" customHeight="false" outlineLevel="0" collapsed="false">
      <c r="A747" s="2" t="s">
        <v>4369</v>
      </c>
      <c r="B747" s="3" t="s">
        <v>4370</v>
      </c>
      <c r="C747" s="2"/>
      <c r="D747" s="2" t="s">
        <v>15</v>
      </c>
      <c r="E747" s="2" t="s">
        <v>312</v>
      </c>
      <c r="F747" s="2" t="s">
        <v>4371</v>
      </c>
      <c r="G747" s="2" t="s">
        <v>4372</v>
      </c>
      <c r="H747" s="2" t="s">
        <v>47</v>
      </c>
      <c r="I747" s="2" t="s">
        <v>48</v>
      </c>
      <c r="J747" s="2" t="s">
        <v>71</v>
      </c>
      <c r="K747" s="2" t="s">
        <v>87</v>
      </c>
      <c r="L747" s="2" t="s">
        <v>4373</v>
      </c>
      <c r="M747" s="2"/>
    </row>
    <row r="748" customFormat="false" ht="15" hidden="false" customHeight="false" outlineLevel="0" collapsed="false">
      <c r="A748" s="2" t="s">
        <v>4374</v>
      </c>
      <c r="B748" s="3" t="s">
        <v>4375</v>
      </c>
      <c r="C748" s="2"/>
      <c r="D748" s="2" t="s">
        <v>251</v>
      </c>
      <c r="E748" s="2" t="s">
        <v>251</v>
      </c>
      <c r="F748" s="2" t="s">
        <v>4376</v>
      </c>
      <c r="G748" s="2" t="s">
        <v>4377</v>
      </c>
      <c r="H748" s="2" t="s">
        <v>255</v>
      </c>
      <c r="I748" s="2" t="s">
        <v>256</v>
      </c>
      <c r="J748" s="2" t="s">
        <v>21</v>
      </c>
      <c r="K748" s="2" t="s">
        <v>22</v>
      </c>
      <c r="L748" s="2" t="s">
        <v>920</v>
      </c>
      <c r="M748" s="2"/>
    </row>
    <row r="749" customFormat="false" ht="15" hidden="false" customHeight="false" outlineLevel="0" collapsed="false">
      <c r="A749" s="2" t="s">
        <v>4378</v>
      </c>
      <c r="B749" s="3" t="s">
        <v>4379</v>
      </c>
      <c r="C749" s="2"/>
      <c r="D749" s="2" t="s">
        <v>231</v>
      </c>
      <c r="E749" s="2" t="s">
        <v>208</v>
      </c>
      <c r="F749" s="2" t="s">
        <v>4380</v>
      </c>
      <c r="G749" s="2" t="s">
        <v>4381</v>
      </c>
      <c r="H749" s="2"/>
      <c r="I749" s="2" t="s">
        <v>48</v>
      </c>
      <c r="J749" s="2" t="s">
        <v>21</v>
      </c>
      <c r="K749" s="2" t="s">
        <v>22</v>
      </c>
      <c r="L749" s="2" t="s">
        <v>4382</v>
      </c>
      <c r="M749" s="2"/>
    </row>
    <row r="750" customFormat="false" ht="23.85" hidden="false" customHeight="false" outlineLevel="0" collapsed="false">
      <c r="A750" s="2" t="s">
        <v>4383</v>
      </c>
      <c r="B750" s="3" t="s">
        <v>4384</v>
      </c>
      <c r="C750" s="2"/>
      <c r="D750" s="2" t="s">
        <v>231</v>
      </c>
      <c r="E750" s="2" t="s">
        <v>208</v>
      </c>
      <c r="F750" s="2" t="s">
        <v>4385</v>
      </c>
      <c r="G750" s="2" t="s">
        <v>4386</v>
      </c>
      <c r="H750" s="2"/>
      <c r="I750" s="2" t="s">
        <v>48</v>
      </c>
      <c r="J750" s="2" t="s">
        <v>21</v>
      </c>
      <c r="K750" s="2" t="s">
        <v>22</v>
      </c>
      <c r="L750" s="2" t="s">
        <v>4387</v>
      </c>
      <c r="M750" s="2"/>
    </row>
    <row r="751" customFormat="false" ht="23.85" hidden="false" customHeight="false" outlineLevel="0" collapsed="false">
      <c r="A751" s="2" t="s">
        <v>4388</v>
      </c>
      <c r="B751" s="3" t="s">
        <v>4389</v>
      </c>
      <c r="C751" s="2"/>
      <c r="D751" s="2" t="s">
        <v>238</v>
      </c>
      <c r="E751" s="2" t="s">
        <v>4390</v>
      </c>
      <c r="F751" s="2" t="s">
        <v>4391</v>
      </c>
      <c r="G751" s="2" t="s">
        <v>4392</v>
      </c>
      <c r="H751" s="2" t="s">
        <v>241</v>
      </c>
      <c r="I751" s="2" t="s">
        <v>78</v>
      </c>
      <c r="J751" s="2" t="s">
        <v>71</v>
      </c>
      <c r="K751" s="2" t="s">
        <v>22</v>
      </c>
      <c r="L751" s="2" t="s">
        <v>4393</v>
      </c>
      <c r="M751" s="2" t="s">
        <v>4394</v>
      </c>
    </row>
    <row r="752" customFormat="false" ht="15" hidden="false" customHeight="false" outlineLevel="0" collapsed="false">
      <c r="A752" s="2" t="s">
        <v>4395</v>
      </c>
      <c r="B752" s="3" t="s">
        <v>4396</v>
      </c>
      <c r="C752" s="2" t="s">
        <v>4397</v>
      </c>
      <c r="D752" s="2" t="s">
        <v>59</v>
      </c>
      <c r="E752" s="2" t="s">
        <v>603</v>
      </c>
      <c r="F752" s="2" t="s">
        <v>4398</v>
      </c>
      <c r="G752" s="2" t="s">
        <v>4399</v>
      </c>
      <c r="H752" s="2" t="s">
        <v>452</v>
      </c>
      <c r="I752" s="2" t="s">
        <v>508</v>
      </c>
      <c r="J752" s="2" t="s">
        <v>71</v>
      </c>
      <c r="K752" s="2" t="s">
        <v>72</v>
      </c>
      <c r="L752" s="2" t="s">
        <v>4400</v>
      </c>
      <c r="M752" s="2" t="s">
        <v>4401</v>
      </c>
    </row>
    <row r="753" customFormat="false" ht="23.85" hidden="false" customHeight="false" outlineLevel="0" collapsed="false">
      <c r="A753" s="2" t="s">
        <v>4402</v>
      </c>
      <c r="B753" s="3" t="s">
        <v>4403</v>
      </c>
      <c r="C753" s="2" t="s">
        <v>4404</v>
      </c>
      <c r="D753" s="2" t="s">
        <v>179</v>
      </c>
      <c r="E753" s="2" t="s">
        <v>107</v>
      </c>
      <c r="F753" s="2" t="s">
        <v>4405</v>
      </c>
      <c r="G753" s="2" t="s">
        <v>4406</v>
      </c>
      <c r="H753" s="2"/>
      <c r="I753" s="2" t="s">
        <v>182</v>
      </c>
      <c r="J753" s="2" t="s">
        <v>86</v>
      </c>
      <c r="K753" s="2" t="s">
        <v>87</v>
      </c>
      <c r="L753" s="2" t="s">
        <v>4407</v>
      </c>
      <c r="M753" s="2"/>
    </row>
    <row r="754" customFormat="false" ht="15" hidden="false" customHeight="false" outlineLevel="0" collapsed="false">
      <c r="A754" s="2" t="s">
        <v>4408</v>
      </c>
      <c r="B754" s="3" t="s">
        <v>4409</v>
      </c>
      <c r="C754" s="2"/>
      <c r="D754" s="2" t="s">
        <v>82</v>
      </c>
      <c r="E754" s="2" t="s">
        <v>684</v>
      </c>
      <c r="F754" s="2" t="s">
        <v>4410</v>
      </c>
      <c r="G754" s="2" t="s">
        <v>4411</v>
      </c>
      <c r="H754" s="2" t="s">
        <v>47</v>
      </c>
      <c r="I754" s="2" t="s">
        <v>85</v>
      </c>
      <c r="J754" s="2" t="s">
        <v>86</v>
      </c>
      <c r="K754" s="2" t="s">
        <v>87</v>
      </c>
      <c r="L754" s="2" t="s">
        <v>4412</v>
      </c>
      <c r="M754" s="2"/>
    </row>
    <row r="755" customFormat="false" ht="15" hidden="false" customHeight="false" outlineLevel="0" collapsed="false">
      <c r="A755" s="2" t="s">
        <v>4413</v>
      </c>
      <c r="B755" s="3" t="s">
        <v>4414</v>
      </c>
      <c r="C755" s="2" t="s">
        <v>4415</v>
      </c>
      <c r="D755" s="2" t="s">
        <v>82</v>
      </c>
      <c r="E755" s="2" t="s">
        <v>691</v>
      </c>
      <c r="F755" s="2" t="s">
        <v>4416</v>
      </c>
      <c r="G755" s="2" t="s">
        <v>4417</v>
      </c>
      <c r="H755" s="2" t="s">
        <v>675</v>
      </c>
      <c r="I755" s="2" t="s">
        <v>138</v>
      </c>
      <c r="J755" s="2" t="s">
        <v>86</v>
      </c>
      <c r="K755" s="2" t="s">
        <v>87</v>
      </c>
      <c r="L755" s="2" t="s">
        <v>4418</v>
      </c>
      <c r="M755" s="2"/>
    </row>
    <row r="756" customFormat="false" ht="15" hidden="false" customHeight="false" outlineLevel="0" collapsed="false">
      <c r="A756" s="2" t="s">
        <v>4419</v>
      </c>
      <c r="B756" s="3" t="s">
        <v>4420</v>
      </c>
      <c r="C756" s="2" t="s">
        <v>4421</v>
      </c>
      <c r="D756" s="2" t="s">
        <v>251</v>
      </c>
      <c r="E756" s="2" t="s">
        <v>251</v>
      </c>
      <c r="F756" s="2" t="s">
        <v>4422</v>
      </c>
      <c r="G756" s="2" t="s">
        <v>4423</v>
      </c>
      <c r="H756" s="2" t="s">
        <v>255</v>
      </c>
      <c r="I756" s="2" t="s">
        <v>48</v>
      </c>
      <c r="J756" s="2" t="s">
        <v>71</v>
      </c>
      <c r="K756" s="2" t="s">
        <v>22</v>
      </c>
      <c r="L756" s="2" t="s">
        <v>4424</v>
      </c>
      <c r="M756" s="2"/>
    </row>
    <row r="757" customFormat="false" ht="15" hidden="false" customHeight="false" outlineLevel="0" collapsed="false">
      <c r="A757" s="2" t="s">
        <v>4425</v>
      </c>
      <c r="B757" s="3" t="s">
        <v>4426</v>
      </c>
      <c r="C757" s="2" t="s">
        <v>4427</v>
      </c>
      <c r="D757" s="2" t="s">
        <v>238</v>
      </c>
      <c r="E757" s="2" t="s">
        <v>99</v>
      </c>
      <c r="F757" s="2" t="s">
        <v>4428</v>
      </c>
      <c r="G757" s="2" t="s">
        <v>4429</v>
      </c>
      <c r="H757" s="2" t="s">
        <v>241</v>
      </c>
      <c r="I757" s="2" t="s">
        <v>111</v>
      </c>
      <c r="J757" s="2" t="s">
        <v>71</v>
      </c>
      <c r="K757" s="2" t="s">
        <v>72</v>
      </c>
      <c r="L757" s="2" t="s">
        <v>4430</v>
      </c>
      <c r="M757" s="2"/>
    </row>
    <row r="758" customFormat="false" ht="23.85" hidden="false" customHeight="false" outlineLevel="0" collapsed="false">
      <c r="A758" s="2" t="s">
        <v>973</v>
      </c>
      <c r="B758" s="3" t="s">
        <v>4431</v>
      </c>
      <c r="C758" s="2" t="s">
        <v>4432</v>
      </c>
      <c r="D758" s="2" t="s">
        <v>15</v>
      </c>
      <c r="E758" s="2" t="s">
        <v>60</v>
      </c>
      <c r="F758" s="2" t="s">
        <v>4433</v>
      </c>
      <c r="G758" s="2" t="s">
        <v>4434</v>
      </c>
      <c r="H758" s="2" t="s">
        <v>47</v>
      </c>
      <c r="I758" s="2" t="s">
        <v>48</v>
      </c>
      <c r="J758" s="2" t="s">
        <v>21</v>
      </c>
      <c r="K758" s="2" t="s">
        <v>22</v>
      </c>
      <c r="L758" s="2" t="s">
        <v>4435</v>
      </c>
      <c r="M758" s="2"/>
    </row>
    <row r="759" customFormat="false" ht="15" hidden="false" customHeight="false" outlineLevel="0" collapsed="false">
      <c r="A759" s="2" t="s">
        <v>4436</v>
      </c>
      <c r="B759" s="3" t="s">
        <v>4437</v>
      </c>
      <c r="C759" s="2" t="s">
        <v>4438</v>
      </c>
      <c r="D759" s="2" t="s">
        <v>34</v>
      </c>
      <c r="E759" s="2" t="s">
        <v>266</v>
      </c>
      <c r="F759" s="2" t="s">
        <v>4439</v>
      </c>
      <c r="G759" s="2" t="s">
        <v>4440</v>
      </c>
      <c r="H759" s="2" t="s">
        <v>288</v>
      </c>
      <c r="I759" s="2" t="s">
        <v>29</v>
      </c>
      <c r="J759" s="2" t="s">
        <v>71</v>
      </c>
      <c r="K759" s="2" t="s">
        <v>72</v>
      </c>
      <c r="L759" s="2" t="s">
        <v>4441</v>
      </c>
      <c r="M759" s="2"/>
    </row>
    <row r="760" customFormat="false" ht="23.85" hidden="false" customHeight="false" outlineLevel="0" collapsed="false">
      <c r="A760" s="2" t="s">
        <v>3702</v>
      </c>
      <c r="B760" s="3" t="s">
        <v>4442</v>
      </c>
      <c r="C760" s="2" t="s">
        <v>4443</v>
      </c>
      <c r="D760" s="2" t="s">
        <v>15</v>
      </c>
      <c r="E760" s="2" t="s">
        <v>99</v>
      </c>
      <c r="F760" s="2" t="s">
        <v>4444</v>
      </c>
      <c r="G760" s="2" t="s">
        <v>4445</v>
      </c>
      <c r="H760" s="2" t="s">
        <v>47</v>
      </c>
      <c r="I760" s="2" t="s">
        <v>119</v>
      </c>
      <c r="J760" s="2" t="s">
        <v>86</v>
      </c>
      <c r="K760" s="2" t="s">
        <v>87</v>
      </c>
      <c r="L760" s="2" t="s">
        <v>4446</v>
      </c>
      <c r="M760" s="2"/>
    </row>
    <row r="761" customFormat="false" ht="23.85" hidden="false" customHeight="false" outlineLevel="0" collapsed="false">
      <c r="A761" s="2" t="s">
        <v>4447</v>
      </c>
      <c r="B761" s="3" t="s">
        <v>4448</v>
      </c>
      <c r="C761" s="2" t="s">
        <v>4449</v>
      </c>
      <c r="D761" s="2" t="s">
        <v>179</v>
      </c>
      <c r="E761" s="2" t="s">
        <v>53</v>
      </c>
      <c r="F761" s="2" t="s">
        <v>4450</v>
      </c>
      <c r="G761" s="2" t="s">
        <v>4451</v>
      </c>
      <c r="H761" s="2" t="s">
        <v>174</v>
      </c>
      <c r="I761" s="2" t="s">
        <v>48</v>
      </c>
      <c r="J761" s="2" t="s">
        <v>21</v>
      </c>
      <c r="K761" s="2" t="s">
        <v>72</v>
      </c>
      <c r="L761" s="2" t="s">
        <v>4452</v>
      </c>
      <c r="M761" s="2"/>
    </row>
    <row r="762" customFormat="false" ht="23.85" hidden="false" customHeight="false" outlineLevel="0" collapsed="false">
      <c r="A762" s="2" t="s">
        <v>4453</v>
      </c>
      <c r="B762" s="3" t="s">
        <v>4454</v>
      </c>
      <c r="C762" s="2" t="s">
        <v>4455</v>
      </c>
      <c r="D762" s="2" t="s">
        <v>59</v>
      </c>
      <c r="E762" s="2" t="s">
        <v>266</v>
      </c>
      <c r="F762" s="2" t="s">
        <v>4456</v>
      </c>
      <c r="G762" s="2" t="s">
        <v>4457</v>
      </c>
      <c r="H762" s="2" t="s">
        <v>452</v>
      </c>
      <c r="I762" s="2" t="s">
        <v>85</v>
      </c>
      <c r="J762" s="2" t="s">
        <v>71</v>
      </c>
      <c r="K762" s="2" t="s">
        <v>72</v>
      </c>
      <c r="L762" s="2" t="s">
        <v>4458</v>
      </c>
      <c r="M762" s="2" t="s">
        <v>4459</v>
      </c>
    </row>
    <row r="763" customFormat="false" ht="23.85" hidden="false" customHeight="false" outlineLevel="0" collapsed="false">
      <c r="A763" s="2" t="s">
        <v>4460</v>
      </c>
      <c r="B763" s="3" t="s">
        <v>4461</v>
      </c>
      <c r="C763" s="2" t="s">
        <v>4462</v>
      </c>
      <c r="D763" s="2" t="s">
        <v>52</v>
      </c>
      <c r="E763" s="2" t="s">
        <v>1381</v>
      </c>
      <c r="F763" s="2" t="s">
        <v>4463</v>
      </c>
      <c r="G763" s="2" t="s">
        <v>4464</v>
      </c>
      <c r="H763" s="2" t="s">
        <v>1538</v>
      </c>
      <c r="I763" s="2" t="s">
        <v>48</v>
      </c>
      <c r="J763" s="2" t="s">
        <v>21</v>
      </c>
      <c r="K763" s="2" t="s">
        <v>72</v>
      </c>
      <c r="L763" s="2" t="s">
        <v>4465</v>
      </c>
      <c r="M763" s="2" t="s">
        <v>4466</v>
      </c>
    </row>
    <row r="764" customFormat="false" ht="23.85" hidden="false" customHeight="false" outlineLevel="0" collapsed="false">
      <c r="A764" s="2" t="s">
        <v>4467</v>
      </c>
      <c r="B764" s="3" t="s">
        <v>4468</v>
      </c>
      <c r="C764" s="2"/>
      <c r="D764" s="2" t="s">
        <v>179</v>
      </c>
      <c r="E764" s="2" t="s">
        <v>4469</v>
      </c>
      <c r="F764" s="2" t="s">
        <v>4470</v>
      </c>
      <c r="G764" s="2" t="s">
        <v>4471</v>
      </c>
      <c r="H764" s="2"/>
      <c r="I764" s="2" t="s">
        <v>48</v>
      </c>
      <c r="J764" s="2" t="s">
        <v>21</v>
      </c>
      <c r="K764" s="2" t="s">
        <v>22</v>
      </c>
      <c r="L764" s="2" t="s">
        <v>4472</v>
      </c>
      <c r="M764" s="2"/>
    </row>
    <row r="765" customFormat="false" ht="23.85" hidden="false" customHeight="false" outlineLevel="0" collapsed="false">
      <c r="A765" s="2" t="s">
        <v>4473</v>
      </c>
      <c r="B765" s="3" t="s">
        <v>3250</v>
      </c>
      <c r="C765" s="2"/>
      <c r="D765" s="2" t="s">
        <v>106</v>
      </c>
      <c r="E765" s="2" t="s">
        <v>53</v>
      </c>
      <c r="F765" s="2" t="s">
        <v>4474</v>
      </c>
      <c r="G765" s="2" t="s">
        <v>4475</v>
      </c>
      <c r="H765" s="2" t="s">
        <v>288</v>
      </c>
      <c r="I765" s="2" t="s">
        <v>78</v>
      </c>
      <c r="J765" s="2" t="s">
        <v>21</v>
      </c>
      <c r="K765" s="2" t="s">
        <v>22</v>
      </c>
      <c r="L765" s="2" t="s">
        <v>4476</v>
      </c>
      <c r="M765" s="2"/>
    </row>
    <row r="766" customFormat="false" ht="23.85" hidden="false" customHeight="false" outlineLevel="0" collapsed="false">
      <c r="A766" s="2" t="s">
        <v>4477</v>
      </c>
      <c r="B766" s="3" t="s">
        <v>4478</v>
      </c>
      <c r="C766" s="2"/>
      <c r="D766" s="2" t="s">
        <v>179</v>
      </c>
      <c r="E766" s="2" t="s">
        <v>53</v>
      </c>
      <c r="F766" s="2" t="s">
        <v>4479</v>
      </c>
      <c r="G766" s="2" t="s">
        <v>4480</v>
      </c>
      <c r="H766" s="2"/>
      <c r="I766" s="2" t="s">
        <v>48</v>
      </c>
      <c r="J766" s="2" t="s">
        <v>71</v>
      </c>
      <c r="K766" s="2" t="s">
        <v>22</v>
      </c>
      <c r="L766" s="2" t="s">
        <v>4481</v>
      </c>
      <c r="M766" s="2"/>
    </row>
    <row r="767" customFormat="false" ht="15" hidden="false" customHeight="false" outlineLevel="0" collapsed="false">
      <c r="A767" s="2" t="s">
        <v>3758</v>
      </c>
      <c r="B767" s="3" t="s">
        <v>4482</v>
      </c>
      <c r="C767" s="2"/>
      <c r="D767" s="2" t="s">
        <v>15</v>
      </c>
      <c r="E767" s="2" t="s">
        <v>16</v>
      </c>
      <c r="F767" s="2" t="s">
        <v>4483</v>
      </c>
      <c r="G767" s="2" t="s">
        <v>4484</v>
      </c>
      <c r="H767" s="2" t="s">
        <v>47</v>
      </c>
      <c r="I767" s="2" t="s">
        <v>94</v>
      </c>
      <c r="J767" s="2" t="s">
        <v>71</v>
      </c>
      <c r="K767" s="2" t="s">
        <v>72</v>
      </c>
      <c r="L767" s="2" t="s">
        <v>4485</v>
      </c>
      <c r="M767" s="2"/>
    </row>
    <row r="768" customFormat="false" ht="15" hidden="false" customHeight="false" outlineLevel="0" collapsed="false">
      <c r="A768" s="2" t="s">
        <v>4486</v>
      </c>
      <c r="B768" s="3" t="s">
        <v>4487</v>
      </c>
      <c r="C768" s="2" t="s">
        <v>4488</v>
      </c>
      <c r="D768" s="2" t="s">
        <v>223</v>
      </c>
      <c r="E768" s="2" t="s">
        <v>99</v>
      </c>
      <c r="F768" s="2" t="s">
        <v>4489</v>
      </c>
      <c r="G768" s="2" t="s">
        <v>4490</v>
      </c>
      <c r="H768" s="2"/>
      <c r="I768" s="2" t="s">
        <v>138</v>
      </c>
      <c r="J768" s="2" t="s">
        <v>86</v>
      </c>
      <c r="K768" s="2" t="s">
        <v>72</v>
      </c>
      <c r="L768" s="2" t="s">
        <v>4491</v>
      </c>
      <c r="M768" s="2"/>
    </row>
    <row r="769" customFormat="false" ht="23.85" hidden="false" customHeight="false" outlineLevel="0" collapsed="false">
      <c r="A769" s="2" t="s">
        <v>4492</v>
      </c>
      <c r="B769" s="3" t="s">
        <v>4493</v>
      </c>
      <c r="C769" s="2"/>
      <c r="D769" s="2" t="s">
        <v>251</v>
      </c>
      <c r="E769" s="2" t="s">
        <v>251</v>
      </c>
      <c r="F769" s="2" t="s">
        <v>4494</v>
      </c>
      <c r="G769" s="2" t="s">
        <v>4495</v>
      </c>
      <c r="H769" s="2" t="s">
        <v>255</v>
      </c>
      <c r="I769" s="2" t="s">
        <v>48</v>
      </c>
      <c r="J769" s="2" t="s">
        <v>71</v>
      </c>
      <c r="K769" s="2" t="s">
        <v>72</v>
      </c>
      <c r="L769" s="2" t="s">
        <v>4496</v>
      </c>
      <c r="M769" s="2"/>
    </row>
    <row r="770" customFormat="false" ht="23.85" hidden="false" customHeight="false" outlineLevel="0" collapsed="false">
      <c r="A770" s="2" t="s">
        <v>4497</v>
      </c>
      <c r="B770" s="3" t="s">
        <v>1218</v>
      </c>
      <c r="C770" s="2" t="s">
        <v>4498</v>
      </c>
      <c r="D770" s="2" t="s">
        <v>223</v>
      </c>
      <c r="E770" s="2" t="s">
        <v>53</v>
      </c>
      <c r="F770" s="2" t="s">
        <v>4499</v>
      </c>
      <c r="G770" s="2" t="s">
        <v>4500</v>
      </c>
      <c r="H770" s="2" t="s">
        <v>4501</v>
      </c>
      <c r="I770" s="2" t="s">
        <v>182</v>
      </c>
      <c r="J770" s="2" t="s">
        <v>86</v>
      </c>
      <c r="K770" s="2" t="s">
        <v>87</v>
      </c>
      <c r="L770" s="2" t="s">
        <v>4502</v>
      </c>
      <c r="M770" s="2"/>
    </row>
    <row r="771" customFormat="false" ht="23.85" hidden="false" customHeight="false" outlineLevel="0" collapsed="false">
      <c r="A771" s="2" t="s">
        <v>4503</v>
      </c>
      <c r="B771" s="3" t="s">
        <v>4504</v>
      </c>
      <c r="C771" s="2" t="s">
        <v>4505</v>
      </c>
      <c r="D771" s="2" t="s">
        <v>106</v>
      </c>
      <c r="E771" s="2" t="s">
        <v>53</v>
      </c>
      <c r="F771" s="2" t="s">
        <v>4506</v>
      </c>
      <c r="G771" s="2" t="s">
        <v>4507</v>
      </c>
      <c r="H771" s="2" t="s">
        <v>3162</v>
      </c>
      <c r="I771" s="2" t="s">
        <v>78</v>
      </c>
      <c r="J771" s="2" t="s">
        <v>71</v>
      </c>
      <c r="K771" s="2" t="s">
        <v>22</v>
      </c>
      <c r="L771" s="2" t="s">
        <v>4508</v>
      </c>
      <c r="M771" s="2"/>
    </row>
    <row r="772" customFormat="false" ht="23.85" hidden="false" customHeight="false" outlineLevel="0" collapsed="false">
      <c r="A772" s="2" t="s">
        <v>4509</v>
      </c>
      <c r="B772" s="3" t="s">
        <v>4510</v>
      </c>
      <c r="C772" s="2" t="s">
        <v>4511</v>
      </c>
      <c r="D772" s="2" t="s">
        <v>15</v>
      </c>
      <c r="E772" s="2" t="s">
        <v>591</v>
      </c>
      <c r="F772" s="2" t="s">
        <v>4512</v>
      </c>
      <c r="G772" s="2" t="s">
        <v>4513</v>
      </c>
      <c r="H772" s="2" t="s">
        <v>452</v>
      </c>
      <c r="I772" s="2" t="s">
        <v>78</v>
      </c>
      <c r="J772" s="2" t="s">
        <v>71</v>
      </c>
      <c r="K772" s="2" t="s">
        <v>72</v>
      </c>
      <c r="L772" s="2" t="s">
        <v>4514</v>
      </c>
      <c r="M772" s="2" t="s">
        <v>4515</v>
      </c>
    </row>
    <row r="773" customFormat="false" ht="23.85" hidden="false" customHeight="false" outlineLevel="0" collapsed="false">
      <c r="A773" s="2" t="s">
        <v>4516</v>
      </c>
      <c r="B773" s="3" t="s">
        <v>4517</v>
      </c>
      <c r="C773" s="2"/>
      <c r="D773" s="2" t="s">
        <v>34</v>
      </c>
      <c r="E773" s="2" t="s">
        <v>53</v>
      </c>
      <c r="F773" s="2" t="s">
        <v>4518</v>
      </c>
      <c r="G773" s="2" t="s">
        <v>4519</v>
      </c>
      <c r="H773" s="2" t="s">
        <v>3253</v>
      </c>
      <c r="I773" s="2" t="s">
        <v>78</v>
      </c>
      <c r="J773" s="2" t="s">
        <v>71</v>
      </c>
      <c r="K773" s="2" t="s">
        <v>87</v>
      </c>
      <c r="L773" s="2" t="s">
        <v>4520</v>
      </c>
      <c r="M773" s="2"/>
    </row>
    <row r="774" customFormat="false" ht="23.85" hidden="false" customHeight="false" outlineLevel="0" collapsed="false">
      <c r="A774" s="2" t="s">
        <v>4521</v>
      </c>
      <c r="B774" s="3" t="s">
        <v>4522</v>
      </c>
      <c r="C774" s="2"/>
      <c r="D774" s="2" t="s">
        <v>106</v>
      </c>
      <c r="E774" s="2" t="s">
        <v>53</v>
      </c>
      <c r="F774" s="2" t="s">
        <v>4523</v>
      </c>
      <c r="G774" s="2" t="s">
        <v>4524</v>
      </c>
      <c r="H774" s="2" t="s">
        <v>4525</v>
      </c>
      <c r="I774" s="2" t="s">
        <v>78</v>
      </c>
      <c r="J774" s="2" t="s">
        <v>21</v>
      </c>
      <c r="K774" s="2" t="s">
        <v>22</v>
      </c>
      <c r="L774" s="2" t="s">
        <v>4526</v>
      </c>
      <c r="M774" s="2"/>
    </row>
    <row r="775" customFormat="false" ht="23.85" hidden="false" customHeight="false" outlineLevel="0" collapsed="false">
      <c r="A775" s="2" t="s">
        <v>4527</v>
      </c>
      <c r="B775" s="3" t="s">
        <v>4528</v>
      </c>
      <c r="C775" s="2"/>
      <c r="D775" s="2" t="s">
        <v>238</v>
      </c>
      <c r="E775" s="2" t="s">
        <v>53</v>
      </c>
      <c r="F775" s="2" t="s">
        <v>4529</v>
      </c>
      <c r="G775" s="2" t="s">
        <v>4530</v>
      </c>
      <c r="H775" s="2" t="s">
        <v>241</v>
      </c>
      <c r="I775" s="2" t="s">
        <v>78</v>
      </c>
      <c r="J775" s="2" t="s">
        <v>71</v>
      </c>
      <c r="K775" s="2" t="s">
        <v>72</v>
      </c>
      <c r="L775" s="2" t="s">
        <v>4531</v>
      </c>
      <c r="M775" s="2"/>
    </row>
    <row r="776" customFormat="false" ht="23.85" hidden="false" customHeight="false" outlineLevel="0" collapsed="false">
      <c r="A776" s="2" t="s">
        <v>4532</v>
      </c>
      <c r="B776" s="3" t="s">
        <v>4533</v>
      </c>
      <c r="C776" s="2" t="s">
        <v>4534</v>
      </c>
      <c r="D776" s="2" t="s">
        <v>106</v>
      </c>
      <c r="E776" s="2" t="s">
        <v>53</v>
      </c>
      <c r="F776" s="2" t="s">
        <v>4535</v>
      </c>
      <c r="G776" s="2" t="s">
        <v>4536</v>
      </c>
      <c r="H776" s="2" t="s">
        <v>3253</v>
      </c>
      <c r="I776" s="2" t="s">
        <v>78</v>
      </c>
      <c r="J776" s="2" t="s">
        <v>21</v>
      </c>
      <c r="K776" s="2" t="s">
        <v>22</v>
      </c>
      <c r="L776" s="2" t="s">
        <v>4537</v>
      </c>
      <c r="M776" s="2"/>
    </row>
    <row r="777" customFormat="false" ht="15" hidden="false" customHeight="false" outlineLevel="0" collapsed="false">
      <c r="A777" s="2" t="s">
        <v>4538</v>
      </c>
      <c r="B777" s="3" t="s">
        <v>4539</v>
      </c>
      <c r="C777" s="2" t="s">
        <v>4540</v>
      </c>
      <c r="D777" s="2" t="s">
        <v>43</v>
      </c>
      <c r="E777" s="2" t="s">
        <v>53</v>
      </c>
      <c r="F777" s="2" t="s">
        <v>4541</v>
      </c>
      <c r="G777" s="2" t="s">
        <v>4542</v>
      </c>
      <c r="H777" s="2" t="s">
        <v>288</v>
      </c>
      <c r="I777" s="2" t="s">
        <v>29</v>
      </c>
      <c r="J777" s="2" t="s">
        <v>71</v>
      </c>
      <c r="K777" s="2" t="s">
        <v>22</v>
      </c>
      <c r="L777" s="2" t="s">
        <v>4543</v>
      </c>
      <c r="M777" s="2"/>
    </row>
    <row r="778" customFormat="false" ht="23.85" hidden="false" customHeight="false" outlineLevel="0" collapsed="false">
      <c r="A778" s="2" t="s">
        <v>4544</v>
      </c>
      <c r="B778" s="3" t="s">
        <v>4545</v>
      </c>
      <c r="C778" s="2" t="s">
        <v>4546</v>
      </c>
      <c r="D778" s="2" t="s">
        <v>43</v>
      </c>
      <c r="E778" s="2" t="s">
        <v>53</v>
      </c>
      <c r="F778" s="2" t="s">
        <v>4547</v>
      </c>
      <c r="G778" s="2" t="s">
        <v>4548</v>
      </c>
      <c r="H778" s="2" t="s">
        <v>288</v>
      </c>
      <c r="I778" s="2" t="s">
        <v>111</v>
      </c>
      <c r="J778" s="2" t="s">
        <v>21</v>
      </c>
      <c r="K778" s="2" t="s">
        <v>22</v>
      </c>
      <c r="L778" s="2" t="s">
        <v>4549</v>
      </c>
      <c r="M778" s="2" t="s">
        <v>4550</v>
      </c>
    </row>
    <row r="779" customFormat="false" ht="23.85" hidden="false" customHeight="false" outlineLevel="0" collapsed="false">
      <c r="A779" s="2" t="s">
        <v>4551</v>
      </c>
      <c r="B779" s="3" t="s">
        <v>4552</v>
      </c>
      <c r="C779" s="2"/>
      <c r="D779" s="2" t="s">
        <v>43</v>
      </c>
      <c r="E779" s="2" t="s">
        <v>53</v>
      </c>
      <c r="F779" s="2" t="s">
        <v>4553</v>
      </c>
      <c r="G779" s="2" t="s">
        <v>4554</v>
      </c>
      <c r="H779" s="2" t="s">
        <v>3253</v>
      </c>
      <c r="I779" s="2" t="s">
        <v>78</v>
      </c>
      <c r="J779" s="2" t="s">
        <v>21</v>
      </c>
      <c r="K779" s="2" t="s">
        <v>72</v>
      </c>
      <c r="L779" s="2" t="s">
        <v>4555</v>
      </c>
      <c r="M779" s="2" t="s">
        <v>4556</v>
      </c>
    </row>
    <row r="780" customFormat="false" ht="15" hidden="false" customHeight="false" outlineLevel="0" collapsed="false">
      <c r="A780" s="2" t="s">
        <v>4557</v>
      </c>
      <c r="B780" s="3" t="s">
        <v>4558</v>
      </c>
      <c r="C780" s="2"/>
      <c r="D780" s="2" t="s">
        <v>34</v>
      </c>
      <c r="E780" s="2" t="s">
        <v>535</v>
      </c>
      <c r="F780" s="2" t="s">
        <v>4559</v>
      </c>
      <c r="G780" s="2" t="s">
        <v>4560</v>
      </c>
      <c r="H780" s="2" t="s">
        <v>1079</v>
      </c>
      <c r="I780" s="2" t="s">
        <v>29</v>
      </c>
      <c r="J780" s="2" t="s">
        <v>71</v>
      </c>
      <c r="K780" s="2" t="s">
        <v>72</v>
      </c>
      <c r="L780" s="2" t="s">
        <v>4561</v>
      </c>
      <c r="M780" s="2"/>
    </row>
    <row r="781" customFormat="false" ht="23.85" hidden="false" customHeight="false" outlineLevel="0" collapsed="false">
      <c r="A781" s="2" t="s">
        <v>4562</v>
      </c>
      <c r="B781" s="3" t="s">
        <v>4563</v>
      </c>
      <c r="C781" s="2"/>
      <c r="D781" s="2" t="s">
        <v>43</v>
      </c>
      <c r="E781" s="2" t="s">
        <v>53</v>
      </c>
      <c r="F781" s="2" t="s">
        <v>4564</v>
      </c>
      <c r="G781" s="2" t="s">
        <v>4565</v>
      </c>
      <c r="H781" s="2" t="s">
        <v>288</v>
      </c>
      <c r="I781" s="2" t="s">
        <v>78</v>
      </c>
      <c r="J781" s="2" t="s">
        <v>71</v>
      </c>
      <c r="K781" s="2" t="s">
        <v>72</v>
      </c>
      <c r="L781" s="2" t="s">
        <v>4566</v>
      </c>
      <c r="M781" s="2"/>
    </row>
    <row r="782" customFormat="false" ht="23.85" hidden="false" customHeight="false" outlineLevel="0" collapsed="false">
      <c r="A782" s="2" t="s">
        <v>3626</v>
      </c>
      <c r="B782" s="3" t="s">
        <v>4567</v>
      </c>
      <c r="C782" s="2" t="s">
        <v>4568</v>
      </c>
      <c r="D782" s="2" t="s">
        <v>34</v>
      </c>
      <c r="E782" s="2" t="s">
        <v>53</v>
      </c>
      <c r="F782" s="2" t="s">
        <v>4569</v>
      </c>
      <c r="G782" s="2" t="s">
        <v>4570</v>
      </c>
      <c r="H782" s="2" t="s">
        <v>288</v>
      </c>
      <c r="I782" s="2" t="s">
        <v>78</v>
      </c>
      <c r="J782" s="2" t="s">
        <v>71</v>
      </c>
      <c r="K782" s="2" t="s">
        <v>87</v>
      </c>
      <c r="L782" s="2" t="s">
        <v>4571</v>
      </c>
      <c r="M782" s="2" t="s">
        <v>4572</v>
      </c>
    </row>
    <row r="783" customFormat="false" ht="23.85" hidden="false" customHeight="false" outlineLevel="0" collapsed="false">
      <c r="A783" s="2" t="s">
        <v>4573</v>
      </c>
      <c r="B783" s="3" t="s">
        <v>4574</v>
      </c>
      <c r="C783" s="2"/>
      <c r="D783" s="2" t="s">
        <v>52</v>
      </c>
      <c r="E783" s="2" t="s">
        <v>53</v>
      </c>
      <c r="F783" s="2" t="s">
        <v>4575</v>
      </c>
      <c r="G783" s="2" t="s">
        <v>4576</v>
      </c>
      <c r="H783" s="2"/>
      <c r="I783" s="2" t="s">
        <v>48</v>
      </c>
      <c r="J783" s="2" t="s">
        <v>21</v>
      </c>
      <c r="K783" s="2" t="s">
        <v>22</v>
      </c>
      <c r="L783" s="2" t="s">
        <v>1343</v>
      </c>
      <c r="M783" s="2" t="s">
        <v>4577</v>
      </c>
    </row>
    <row r="784" customFormat="false" ht="23.85" hidden="false" customHeight="false" outlineLevel="0" collapsed="false">
      <c r="A784" s="2" t="s">
        <v>4578</v>
      </c>
      <c r="B784" s="3" t="s">
        <v>4579</v>
      </c>
      <c r="C784" s="2"/>
      <c r="D784" s="2" t="s">
        <v>238</v>
      </c>
      <c r="E784" s="2" t="s">
        <v>53</v>
      </c>
      <c r="F784" s="2" t="s">
        <v>4580</v>
      </c>
      <c r="G784" s="2" t="s">
        <v>4581</v>
      </c>
      <c r="H784" s="2" t="s">
        <v>241</v>
      </c>
      <c r="I784" s="2" t="s">
        <v>48</v>
      </c>
      <c r="J784" s="2" t="s">
        <v>71</v>
      </c>
      <c r="K784" s="2" t="s">
        <v>22</v>
      </c>
      <c r="L784" s="2" t="s">
        <v>4582</v>
      </c>
      <c r="M784" s="2" t="s">
        <v>4583</v>
      </c>
    </row>
    <row r="785" customFormat="false" ht="23.85" hidden="false" customHeight="false" outlineLevel="0" collapsed="false">
      <c r="A785" s="2" t="s">
        <v>4584</v>
      </c>
      <c r="B785" s="3" t="s">
        <v>4585</v>
      </c>
      <c r="C785" s="2" t="s">
        <v>4586</v>
      </c>
      <c r="D785" s="2" t="s">
        <v>238</v>
      </c>
      <c r="E785" s="2" t="s">
        <v>53</v>
      </c>
      <c r="F785" s="2" t="s">
        <v>4587</v>
      </c>
      <c r="G785" s="2" t="s">
        <v>4588</v>
      </c>
      <c r="H785" s="2" t="s">
        <v>241</v>
      </c>
      <c r="I785" s="2" t="s">
        <v>48</v>
      </c>
      <c r="J785" s="2" t="s">
        <v>21</v>
      </c>
      <c r="K785" s="2" t="s">
        <v>22</v>
      </c>
      <c r="L785" s="2" t="s">
        <v>4589</v>
      </c>
      <c r="M785" s="2"/>
    </row>
    <row r="786" customFormat="false" ht="15" hidden="false" customHeight="false" outlineLevel="0" collapsed="false">
      <c r="A786" s="2" t="s">
        <v>532</v>
      </c>
      <c r="B786" s="3" t="s">
        <v>4590</v>
      </c>
      <c r="C786" s="2" t="s">
        <v>4591</v>
      </c>
      <c r="D786" s="2" t="s">
        <v>179</v>
      </c>
      <c r="E786" s="2" t="s">
        <v>53</v>
      </c>
      <c r="F786" s="2" t="s">
        <v>4592</v>
      </c>
      <c r="G786" s="2" t="s">
        <v>4593</v>
      </c>
      <c r="H786" s="2"/>
      <c r="I786" s="2" t="s">
        <v>48</v>
      </c>
      <c r="J786" s="2" t="s">
        <v>21</v>
      </c>
      <c r="K786" s="2" t="s">
        <v>22</v>
      </c>
      <c r="L786" s="2" t="s">
        <v>4594</v>
      </c>
      <c r="M786" s="2"/>
    </row>
    <row r="787" customFormat="false" ht="15" hidden="false" customHeight="false" outlineLevel="0" collapsed="false">
      <c r="A787" s="2" t="s">
        <v>4595</v>
      </c>
      <c r="B787" s="3" t="s">
        <v>4596</v>
      </c>
      <c r="C787" s="2"/>
      <c r="D787" s="2" t="s">
        <v>59</v>
      </c>
      <c r="E787" s="2" t="s">
        <v>53</v>
      </c>
      <c r="F787" s="2" t="s">
        <v>4597</v>
      </c>
      <c r="G787" s="2" t="s">
        <v>4598</v>
      </c>
      <c r="H787" s="2" t="s">
        <v>543</v>
      </c>
      <c r="I787" s="2" t="s">
        <v>85</v>
      </c>
      <c r="J787" s="2" t="s">
        <v>71</v>
      </c>
      <c r="K787" s="2" t="s">
        <v>22</v>
      </c>
      <c r="L787" s="2" t="s">
        <v>4599</v>
      </c>
      <c r="M787" s="2"/>
    </row>
    <row r="788" customFormat="false" ht="23.85" hidden="false" customHeight="false" outlineLevel="0" collapsed="false">
      <c r="A788" s="2" t="s">
        <v>4600</v>
      </c>
      <c r="B788" s="3" t="s">
        <v>4601</v>
      </c>
      <c r="C788" s="2" t="s">
        <v>4602</v>
      </c>
      <c r="D788" s="2" t="s">
        <v>59</v>
      </c>
      <c r="E788" s="2" t="s">
        <v>216</v>
      </c>
      <c r="F788" s="2" t="s">
        <v>4603</v>
      </c>
      <c r="G788" s="2" t="s">
        <v>4604</v>
      </c>
      <c r="H788" s="2" t="s">
        <v>1006</v>
      </c>
      <c r="I788" s="2" t="s">
        <v>508</v>
      </c>
      <c r="J788" s="2" t="s">
        <v>71</v>
      </c>
      <c r="K788" s="2" t="s">
        <v>22</v>
      </c>
      <c r="L788" s="2" t="s">
        <v>4605</v>
      </c>
      <c r="M788" s="2"/>
    </row>
    <row r="789" customFormat="false" ht="23.85" hidden="false" customHeight="false" outlineLevel="0" collapsed="false">
      <c r="A789" s="2" t="s">
        <v>4606</v>
      </c>
      <c r="B789" s="3" t="s">
        <v>4607</v>
      </c>
      <c r="C789" s="2" t="s">
        <v>4608</v>
      </c>
      <c r="D789" s="2" t="s">
        <v>59</v>
      </c>
      <c r="E789" s="2" t="s">
        <v>53</v>
      </c>
      <c r="F789" s="2" t="s">
        <v>4609</v>
      </c>
      <c r="G789" s="2" t="s">
        <v>4610</v>
      </c>
      <c r="H789" s="2" t="s">
        <v>1037</v>
      </c>
      <c r="I789" s="2" t="s">
        <v>78</v>
      </c>
      <c r="J789" s="2" t="s">
        <v>71</v>
      </c>
      <c r="K789" s="2" t="s">
        <v>72</v>
      </c>
      <c r="L789" s="2" t="s">
        <v>4611</v>
      </c>
      <c r="M789" s="2"/>
    </row>
    <row r="790" customFormat="false" ht="15" hidden="false" customHeight="false" outlineLevel="0" collapsed="false">
      <c r="A790" s="2" t="s">
        <v>4612</v>
      </c>
      <c r="B790" s="3" t="s">
        <v>4613</v>
      </c>
      <c r="C790" s="2" t="s">
        <v>4614</v>
      </c>
      <c r="D790" s="2" t="s">
        <v>15</v>
      </c>
      <c r="E790" s="2" t="s">
        <v>16</v>
      </c>
      <c r="F790" s="2" t="s">
        <v>4615</v>
      </c>
      <c r="G790" s="2" t="s">
        <v>4616</v>
      </c>
      <c r="H790" s="2" t="s">
        <v>47</v>
      </c>
      <c r="I790" s="2" t="s">
        <v>138</v>
      </c>
      <c r="J790" s="2" t="s">
        <v>71</v>
      </c>
      <c r="K790" s="2" t="s">
        <v>22</v>
      </c>
      <c r="L790" s="2" t="s">
        <v>2128</v>
      </c>
      <c r="M790" s="2"/>
    </row>
    <row r="791" customFormat="false" ht="23.85" hidden="false" customHeight="false" outlineLevel="0" collapsed="false">
      <c r="A791" s="2" t="s">
        <v>4617</v>
      </c>
      <c r="B791" s="3" t="s">
        <v>4618</v>
      </c>
      <c r="C791" s="2" t="s">
        <v>4619</v>
      </c>
      <c r="D791" s="2" t="s">
        <v>34</v>
      </c>
      <c r="E791" s="2" t="s">
        <v>53</v>
      </c>
      <c r="F791" s="2" t="s">
        <v>4620</v>
      </c>
      <c r="G791" s="2" t="s">
        <v>4621</v>
      </c>
      <c r="H791" s="2" t="s">
        <v>1097</v>
      </c>
      <c r="I791" s="2" t="s">
        <v>78</v>
      </c>
      <c r="J791" s="2" t="s">
        <v>71</v>
      </c>
      <c r="K791" s="2" t="s">
        <v>72</v>
      </c>
      <c r="L791" s="2" t="s">
        <v>4622</v>
      </c>
      <c r="M791" s="2"/>
    </row>
    <row r="792" customFormat="false" ht="15" hidden="false" customHeight="false" outlineLevel="0" collapsed="false">
      <c r="A792" s="2" t="s">
        <v>4623</v>
      </c>
      <c r="B792" s="3" t="s">
        <v>4624</v>
      </c>
      <c r="C792" s="2"/>
      <c r="D792" s="2" t="s">
        <v>15</v>
      </c>
      <c r="E792" s="2" t="s">
        <v>99</v>
      </c>
      <c r="F792" s="2" t="s">
        <v>4625</v>
      </c>
      <c r="G792" s="2" t="s">
        <v>4626</v>
      </c>
      <c r="H792" s="2" t="s">
        <v>452</v>
      </c>
      <c r="I792" s="2" t="s">
        <v>138</v>
      </c>
      <c r="J792" s="2" t="s">
        <v>86</v>
      </c>
      <c r="K792" s="2" t="s">
        <v>72</v>
      </c>
      <c r="L792" s="2" t="s">
        <v>4627</v>
      </c>
      <c r="M792" s="2"/>
    </row>
    <row r="793" customFormat="false" ht="23.85" hidden="false" customHeight="false" outlineLevel="0" collapsed="false">
      <c r="A793" s="2" t="s">
        <v>4628</v>
      </c>
      <c r="B793" s="3" t="s">
        <v>4629</v>
      </c>
      <c r="C793" s="2" t="s">
        <v>4630</v>
      </c>
      <c r="D793" s="2" t="s">
        <v>15</v>
      </c>
      <c r="E793" s="2" t="s">
        <v>16</v>
      </c>
      <c r="F793" s="2" t="s">
        <v>4631</v>
      </c>
      <c r="G793" s="2" t="s">
        <v>4632</v>
      </c>
      <c r="H793" s="2" t="s">
        <v>47</v>
      </c>
      <c r="I793" s="2" t="s">
        <v>20</v>
      </c>
      <c r="J793" s="2" t="s">
        <v>21</v>
      </c>
      <c r="K793" s="2" t="s">
        <v>22</v>
      </c>
      <c r="L793" s="2" t="s">
        <v>4633</v>
      </c>
      <c r="M793" s="2" t="s">
        <v>4634</v>
      </c>
    </row>
    <row r="794" customFormat="false" ht="23.85" hidden="false" customHeight="false" outlineLevel="0" collapsed="false">
      <c r="A794" s="2" t="s">
        <v>4635</v>
      </c>
      <c r="B794" s="3" t="s">
        <v>4636</v>
      </c>
      <c r="C794" s="2"/>
      <c r="D794" s="2" t="s">
        <v>223</v>
      </c>
      <c r="E794" s="2" t="s">
        <v>53</v>
      </c>
      <c r="F794" s="2" t="s">
        <v>4637</v>
      </c>
      <c r="G794" s="2" t="s">
        <v>4638</v>
      </c>
      <c r="H794" s="2" t="s">
        <v>28</v>
      </c>
      <c r="I794" s="2" t="s">
        <v>508</v>
      </c>
      <c r="J794" s="2" t="s">
        <v>71</v>
      </c>
      <c r="K794" s="2" t="s">
        <v>87</v>
      </c>
      <c r="L794" s="2" t="s">
        <v>4639</v>
      </c>
      <c r="M794" s="2"/>
    </row>
    <row r="795" customFormat="false" ht="23.85" hidden="false" customHeight="false" outlineLevel="0" collapsed="false">
      <c r="A795" s="2" t="s">
        <v>4640</v>
      </c>
      <c r="B795" s="3" t="s">
        <v>4641</v>
      </c>
      <c r="C795" s="2"/>
      <c r="D795" s="2" t="s">
        <v>251</v>
      </c>
      <c r="E795" s="2" t="s">
        <v>251</v>
      </c>
      <c r="F795" s="2" t="s">
        <v>4642</v>
      </c>
      <c r="G795" s="2" t="s">
        <v>4643</v>
      </c>
      <c r="H795" s="2" t="s">
        <v>255</v>
      </c>
      <c r="I795" s="2" t="s">
        <v>48</v>
      </c>
      <c r="J795" s="2" t="s">
        <v>21</v>
      </c>
      <c r="K795" s="2" t="s">
        <v>22</v>
      </c>
      <c r="L795" s="2" t="s">
        <v>3981</v>
      </c>
      <c r="M795" s="2"/>
    </row>
    <row r="796" customFormat="false" ht="23.85" hidden="false" customHeight="false" outlineLevel="0" collapsed="false">
      <c r="A796" s="2" t="s">
        <v>2357</v>
      </c>
      <c r="B796" s="3" t="s">
        <v>251</v>
      </c>
      <c r="C796" s="2" t="s">
        <v>4644</v>
      </c>
      <c r="D796" s="2" t="s">
        <v>251</v>
      </c>
      <c r="E796" s="2" t="s">
        <v>53</v>
      </c>
      <c r="F796" s="2" t="s">
        <v>4645</v>
      </c>
      <c r="G796" s="2" t="s">
        <v>4646</v>
      </c>
      <c r="H796" s="2" t="s">
        <v>255</v>
      </c>
      <c r="I796" s="2" t="s">
        <v>78</v>
      </c>
      <c r="J796" s="2" t="s">
        <v>86</v>
      </c>
      <c r="K796" s="2" t="s">
        <v>87</v>
      </c>
      <c r="L796" s="2" t="s">
        <v>4647</v>
      </c>
      <c r="M796" s="2" t="s">
        <v>4648</v>
      </c>
    </row>
    <row r="797" customFormat="false" ht="15" hidden="false" customHeight="false" outlineLevel="0" collapsed="false">
      <c r="A797" s="2" t="s">
        <v>4649</v>
      </c>
      <c r="B797" s="3" t="s">
        <v>4650</v>
      </c>
      <c r="C797" s="2" t="s">
        <v>4651</v>
      </c>
      <c r="D797" s="2" t="s">
        <v>251</v>
      </c>
      <c r="E797" s="2" t="s">
        <v>251</v>
      </c>
      <c r="F797" s="2" t="s">
        <v>4652</v>
      </c>
      <c r="G797" s="2" t="s">
        <v>4653</v>
      </c>
      <c r="H797" s="2" t="s">
        <v>255</v>
      </c>
      <c r="I797" s="2" t="s">
        <v>256</v>
      </c>
      <c r="J797" s="2" t="s">
        <v>71</v>
      </c>
      <c r="K797" s="2" t="s">
        <v>22</v>
      </c>
      <c r="L797" s="2" t="s">
        <v>4654</v>
      </c>
      <c r="M797" s="2"/>
    </row>
    <row r="798" customFormat="false" ht="15" hidden="false" customHeight="false" outlineLevel="0" collapsed="false">
      <c r="A798" s="2" t="s">
        <v>4655</v>
      </c>
      <c r="B798" s="3" t="s">
        <v>4656</v>
      </c>
      <c r="C798" s="2" t="s">
        <v>4657</v>
      </c>
      <c r="D798" s="2" t="s">
        <v>251</v>
      </c>
      <c r="E798" s="2" t="s">
        <v>251</v>
      </c>
      <c r="F798" s="2" t="s">
        <v>4658</v>
      </c>
      <c r="G798" s="2" t="s">
        <v>4659</v>
      </c>
      <c r="H798" s="2" t="s">
        <v>255</v>
      </c>
      <c r="I798" s="2" t="s">
        <v>48</v>
      </c>
      <c r="J798" s="2" t="s">
        <v>86</v>
      </c>
      <c r="K798" s="2" t="s">
        <v>72</v>
      </c>
      <c r="L798" s="2" t="s">
        <v>4660</v>
      </c>
      <c r="M798" s="2"/>
    </row>
    <row r="799" customFormat="false" ht="15" hidden="false" customHeight="false" outlineLevel="0" collapsed="false">
      <c r="A799" s="2" t="s">
        <v>4661</v>
      </c>
      <c r="B799" s="3" t="s">
        <v>4662</v>
      </c>
      <c r="C799" s="2" t="s">
        <v>4663</v>
      </c>
      <c r="D799" s="2" t="s">
        <v>59</v>
      </c>
      <c r="E799" s="2" t="s">
        <v>691</v>
      </c>
      <c r="F799" s="2" t="s">
        <v>4664</v>
      </c>
      <c r="G799" s="2" t="s">
        <v>4665</v>
      </c>
      <c r="H799" s="2" t="s">
        <v>452</v>
      </c>
      <c r="I799" s="2" t="s">
        <v>85</v>
      </c>
      <c r="J799" s="2" t="s">
        <v>71</v>
      </c>
      <c r="K799" s="2" t="s">
        <v>72</v>
      </c>
      <c r="L799" s="2" t="s">
        <v>1039</v>
      </c>
      <c r="M799" s="2"/>
    </row>
    <row r="800" customFormat="false" ht="23.85" hidden="false" customHeight="false" outlineLevel="0" collapsed="false">
      <c r="A800" s="2" t="s">
        <v>4666</v>
      </c>
      <c r="B800" s="3" t="s">
        <v>4667</v>
      </c>
      <c r="C800" s="2"/>
      <c r="D800" s="2" t="s">
        <v>223</v>
      </c>
      <c r="E800" s="2" t="s">
        <v>53</v>
      </c>
      <c r="F800" s="2" t="s">
        <v>4668</v>
      </c>
      <c r="G800" s="2" t="s">
        <v>4669</v>
      </c>
      <c r="H800" s="2" t="s">
        <v>1268</v>
      </c>
      <c r="I800" s="2" t="s">
        <v>182</v>
      </c>
      <c r="J800" s="2" t="s">
        <v>86</v>
      </c>
      <c r="K800" s="2" t="s">
        <v>87</v>
      </c>
      <c r="L800" s="2" t="s">
        <v>4670</v>
      </c>
      <c r="M800" s="2"/>
    </row>
    <row r="801" customFormat="false" ht="15" hidden="false" customHeight="false" outlineLevel="0" collapsed="false">
      <c r="A801" s="2" t="s">
        <v>4671</v>
      </c>
      <c r="B801" s="3" t="s">
        <v>4672</v>
      </c>
      <c r="C801" s="2" t="s">
        <v>4673</v>
      </c>
      <c r="D801" s="2" t="s">
        <v>223</v>
      </c>
      <c r="E801" s="2" t="s">
        <v>53</v>
      </c>
      <c r="F801" s="2" t="s">
        <v>4674</v>
      </c>
      <c r="G801" s="2" t="s">
        <v>4675</v>
      </c>
      <c r="H801" s="2" t="s">
        <v>1268</v>
      </c>
      <c r="I801" s="2" t="s">
        <v>138</v>
      </c>
      <c r="J801" s="2" t="s">
        <v>86</v>
      </c>
      <c r="K801" s="2" t="s">
        <v>72</v>
      </c>
      <c r="L801" s="2" t="s">
        <v>4676</v>
      </c>
      <c r="M801" s="2"/>
    </row>
    <row r="802" customFormat="false" ht="15" hidden="false" customHeight="false" outlineLevel="0" collapsed="false">
      <c r="A802" s="2" t="s">
        <v>4677</v>
      </c>
      <c r="B802" s="3" t="s">
        <v>4678</v>
      </c>
      <c r="C802" s="2" t="s">
        <v>4679</v>
      </c>
      <c r="D802" s="2" t="s">
        <v>82</v>
      </c>
      <c r="E802" s="2" t="s">
        <v>91</v>
      </c>
      <c r="F802" s="2" t="s">
        <v>4680</v>
      </c>
      <c r="G802" s="2" t="s">
        <v>4681</v>
      </c>
      <c r="H802" s="2" t="s">
        <v>675</v>
      </c>
      <c r="I802" s="2" t="s">
        <v>138</v>
      </c>
      <c r="J802" s="2" t="s">
        <v>86</v>
      </c>
      <c r="K802" s="2" t="s">
        <v>72</v>
      </c>
      <c r="L802" s="2" t="s">
        <v>3278</v>
      </c>
      <c r="M802" s="2"/>
    </row>
    <row r="803" customFormat="false" ht="15" hidden="false" customHeight="false" outlineLevel="0" collapsed="false">
      <c r="A803" s="2" t="s">
        <v>4682</v>
      </c>
      <c r="B803" s="3" t="s">
        <v>4683</v>
      </c>
      <c r="C803" s="2"/>
      <c r="D803" s="2" t="s">
        <v>59</v>
      </c>
      <c r="E803" s="2" t="s">
        <v>53</v>
      </c>
      <c r="F803" s="2" t="s">
        <v>4684</v>
      </c>
      <c r="G803" s="2" t="s">
        <v>4685</v>
      </c>
      <c r="H803" s="2" t="s">
        <v>543</v>
      </c>
      <c r="I803" s="2" t="s">
        <v>29</v>
      </c>
      <c r="J803" s="2" t="s">
        <v>71</v>
      </c>
      <c r="K803" s="2" t="s">
        <v>22</v>
      </c>
      <c r="L803" s="2" t="s">
        <v>4686</v>
      </c>
      <c r="M803" s="2"/>
    </row>
    <row r="804" customFormat="false" ht="23.85" hidden="false" customHeight="false" outlineLevel="0" collapsed="false">
      <c r="A804" s="2" t="s">
        <v>23</v>
      </c>
      <c r="B804" s="3" t="s">
        <v>4687</v>
      </c>
      <c r="C804" s="2"/>
      <c r="D804" s="2" t="s">
        <v>238</v>
      </c>
      <c r="E804" s="2" t="s">
        <v>116</v>
      </c>
      <c r="F804" s="2" t="s">
        <v>4688</v>
      </c>
      <c r="G804" s="2" t="s">
        <v>4689</v>
      </c>
      <c r="H804" s="2" t="s">
        <v>4690</v>
      </c>
      <c r="I804" s="2" t="s">
        <v>78</v>
      </c>
      <c r="J804" s="2" t="s">
        <v>71</v>
      </c>
      <c r="K804" s="2" t="s">
        <v>72</v>
      </c>
      <c r="L804" s="2" t="s">
        <v>4691</v>
      </c>
      <c r="M804" s="2" t="s">
        <v>4692</v>
      </c>
    </row>
    <row r="805" customFormat="false" ht="23.85" hidden="false" customHeight="false" outlineLevel="0" collapsed="false">
      <c r="A805" s="2" t="s">
        <v>4693</v>
      </c>
      <c r="B805" s="3" t="s">
        <v>4694</v>
      </c>
      <c r="C805" s="2" t="s">
        <v>4695</v>
      </c>
      <c r="D805" s="2" t="s">
        <v>179</v>
      </c>
      <c r="E805" s="2" t="s">
        <v>216</v>
      </c>
      <c r="F805" s="2" t="s">
        <v>4696</v>
      </c>
      <c r="G805" s="2" t="s">
        <v>4697</v>
      </c>
      <c r="H805" s="2" t="s">
        <v>174</v>
      </c>
      <c r="I805" s="2" t="s">
        <v>182</v>
      </c>
      <c r="J805" s="2" t="s">
        <v>86</v>
      </c>
      <c r="K805" s="2" t="s">
        <v>87</v>
      </c>
      <c r="L805" s="2" t="s">
        <v>4698</v>
      </c>
      <c r="M805" s="2"/>
    </row>
    <row r="806" customFormat="false" ht="23.85" hidden="false" customHeight="false" outlineLevel="0" collapsed="false">
      <c r="A806" s="2" t="s">
        <v>4699</v>
      </c>
      <c r="B806" s="3" t="s">
        <v>4700</v>
      </c>
      <c r="C806" s="2"/>
      <c r="D806" s="2" t="s">
        <v>34</v>
      </c>
      <c r="E806" s="2" t="s">
        <v>53</v>
      </c>
      <c r="F806" s="2" t="s">
        <v>4701</v>
      </c>
      <c r="G806" s="2" t="s">
        <v>4702</v>
      </c>
      <c r="H806" s="2" t="s">
        <v>19</v>
      </c>
      <c r="I806" s="2" t="s">
        <v>63</v>
      </c>
      <c r="J806" s="2" t="s">
        <v>71</v>
      </c>
      <c r="K806" s="2" t="s">
        <v>22</v>
      </c>
      <c r="L806" s="2" t="s">
        <v>4703</v>
      </c>
      <c r="M806" s="2"/>
    </row>
    <row r="807" customFormat="false" ht="23.85" hidden="false" customHeight="false" outlineLevel="0" collapsed="false">
      <c r="A807" s="2" t="s">
        <v>4704</v>
      </c>
      <c r="B807" s="3" t="s">
        <v>4705</v>
      </c>
      <c r="C807" s="2" t="s">
        <v>4706</v>
      </c>
      <c r="D807" s="2" t="s">
        <v>238</v>
      </c>
      <c r="E807" s="2" t="s">
        <v>16</v>
      </c>
      <c r="F807" s="2" t="s">
        <v>4707</v>
      </c>
      <c r="G807" s="2" t="s">
        <v>4708</v>
      </c>
      <c r="H807" s="2" t="s">
        <v>47</v>
      </c>
      <c r="I807" s="2" t="s">
        <v>138</v>
      </c>
      <c r="J807" s="2" t="s">
        <v>71</v>
      </c>
      <c r="K807" s="2" t="s">
        <v>72</v>
      </c>
      <c r="L807" s="2" t="s">
        <v>3758</v>
      </c>
      <c r="M807" s="2" t="s">
        <v>4709</v>
      </c>
    </row>
    <row r="808" customFormat="false" ht="23.85" hidden="false" customHeight="false" outlineLevel="0" collapsed="false">
      <c r="A808" s="2" t="s">
        <v>4710</v>
      </c>
      <c r="B808" s="3" t="s">
        <v>4711</v>
      </c>
      <c r="C808" s="2"/>
      <c r="D808" s="2" t="s">
        <v>223</v>
      </c>
      <c r="E808" s="2" t="s">
        <v>53</v>
      </c>
      <c r="F808" s="2" t="s">
        <v>4712</v>
      </c>
      <c r="G808" s="2" t="s">
        <v>4713</v>
      </c>
      <c r="H808" s="2" t="s">
        <v>47</v>
      </c>
      <c r="I808" s="2" t="s">
        <v>78</v>
      </c>
      <c r="J808" s="2" t="s">
        <v>21</v>
      </c>
      <c r="K808" s="2" t="s">
        <v>72</v>
      </c>
      <c r="L808" s="2" t="s">
        <v>4714</v>
      </c>
      <c r="M808" s="2" t="s">
        <v>4715</v>
      </c>
    </row>
    <row r="809" customFormat="false" ht="23.85" hidden="false" customHeight="false" outlineLevel="0" collapsed="false">
      <c r="A809" s="2" t="s">
        <v>4716</v>
      </c>
      <c r="B809" s="3" t="s">
        <v>4717</v>
      </c>
      <c r="C809" s="2" t="s">
        <v>4718</v>
      </c>
      <c r="D809" s="2" t="s">
        <v>59</v>
      </c>
      <c r="E809" s="2" t="s">
        <v>1381</v>
      </c>
      <c r="F809" s="2" t="s">
        <v>4719</v>
      </c>
      <c r="G809" s="2" t="s">
        <v>4720</v>
      </c>
      <c r="H809" s="2" t="s">
        <v>452</v>
      </c>
      <c r="I809" s="2" t="s">
        <v>85</v>
      </c>
      <c r="J809" s="2" t="s">
        <v>21</v>
      </c>
      <c r="K809" s="2" t="s">
        <v>72</v>
      </c>
      <c r="L809" s="2" t="s">
        <v>4721</v>
      </c>
      <c r="M809" s="2" t="s">
        <v>4722</v>
      </c>
    </row>
    <row r="810" customFormat="false" ht="23.85" hidden="false" customHeight="false" outlineLevel="0" collapsed="false">
      <c r="A810" s="2" t="s">
        <v>4723</v>
      </c>
      <c r="B810" s="3" t="s">
        <v>4724</v>
      </c>
      <c r="C810" s="2" t="s">
        <v>3257</v>
      </c>
      <c r="D810" s="2" t="s">
        <v>106</v>
      </c>
      <c r="E810" s="2" t="s">
        <v>53</v>
      </c>
      <c r="F810" s="2" t="s">
        <v>4725</v>
      </c>
      <c r="G810" s="2" t="s">
        <v>4726</v>
      </c>
      <c r="H810" s="2" t="s">
        <v>110</v>
      </c>
      <c r="I810" s="2" t="s">
        <v>78</v>
      </c>
      <c r="J810" s="2" t="s">
        <v>21</v>
      </c>
      <c r="K810" s="2" t="s">
        <v>22</v>
      </c>
      <c r="L810" s="2" t="s">
        <v>4727</v>
      </c>
      <c r="M810" s="2"/>
    </row>
    <row r="811" customFormat="false" ht="23.85" hidden="false" customHeight="false" outlineLevel="0" collapsed="false">
      <c r="A811" s="2" t="s">
        <v>4728</v>
      </c>
      <c r="B811" s="3" t="s">
        <v>4729</v>
      </c>
      <c r="C811" s="2" t="s">
        <v>4730</v>
      </c>
      <c r="D811" s="2" t="s">
        <v>106</v>
      </c>
      <c r="E811" s="2" t="s">
        <v>53</v>
      </c>
      <c r="F811" s="2" t="s">
        <v>4731</v>
      </c>
      <c r="G811" s="2" t="s">
        <v>4732</v>
      </c>
      <c r="H811" s="2" t="s">
        <v>110</v>
      </c>
      <c r="I811" s="2" t="s">
        <v>78</v>
      </c>
      <c r="J811" s="2" t="s">
        <v>71</v>
      </c>
      <c r="K811" s="2" t="s">
        <v>87</v>
      </c>
      <c r="L811" s="2" t="s">
        <v>4733</v>
      </c>
      <c r="M811" s="2"/>
    </row>
    <row r="812" customFormat="false" ht="15" hidden="false" customHeight="false" outlineLevel="0" collapsed="false">
      <c r="A812" s="2" t="s">
        <v>4734</v>
      </c>
      <c r="B812" s="3" t="s">
        <v>4735</v>
      </c>
      <c r="C812" s="2" t="s">
        <v>4736</v>
      </c>
      <c r="D812" s="2" t="s">
        <v>15</v>
      </c>
      <c r="E812" s="2" t="s">
        <v>99</v>
      </c>
      <c r="F812" s="2" t="s">
        <v>4737</v>
      </c>
      <c r="G812" s="2" t="s">
        <v>4738</v>
      </c>
      <c r="H812" s="2" t="s">
        <v>47</v>
      </c>
      <c r="I812" s="2" t="s">
        <v>85</v>
      </c>
      <c r="J812" s="2" t="s">
        <v>21</v>
      </c>
      <c r="K812" s="2" t="s">
        <v>22</v>
      </c>
      <c r="L812" s="2" t="s">
        <v>1705</v>
      </c>
      <c r="M812" s="2"/>
    </row>
    <row r="813" customFormat="false" ht="23.85" hidden="false" customHeight="false" outlineLevel="0" collapsed="false">
      <c r="A813" s="2" t="s">
        <v>497</v>
      </c>
      <c r="B813" s="3" t="s">
        <v>4739</v>
      </c>
      <c r="C813" s="2" t="s">
        <v>4740</v>
      </c>
      <c r="D813" s="2" t="s">
        <v>238</v>
      </c>
      <c r="E813" s="2" t="s">
        <v>548</v>
      </c>
      <c r="F813" s="2" t="s">
        <v>4741</v>
      </c>
      <c r="G813" s="2" t="s">
        <v>4742</v>
      </c>
      <c r="H813" s="2" t="s">
        <v>241</v>
      </c>
      <c r="I813" s="2" t="s">
        <v>20</v>
      </c>
      <c r="J813" s="2" t="s">
        <v>71</v>
      </c>
      <c r="K813" s="2" t="s">
        <v>22</v>
      </c>
      <c r="L813" s="2" t="s">
        <v>4743</v>
      </c>
      <c r="M813" s="2"/>
    </row>
    <row r="814" customFormat="false" ht="23.85" hidden="false" customHeight="false" outlineLevel="0" collapsed="false">
      <c r="A814" s="2" t="s">
        <v>4744</v>
      </c>
      <c r="B814" s="3" t="s">
        <v>4745</v>
      </c>
      <c r="C814" s="2"/>
      <c r="D814" s="2" t="s">
        <v>52</v>
      </c>
      <c r="E814" s="2" t="s">
        <v>535</v>
      </c>
      <c r="F814" s="2" t="s">
        <v>4746</v>
      </c>
      <c r="G814" s="2" t="s">
        <v>4747</v>
      </c>
      <c r="H814" s="2" t="s">
        <v>452</v>
      </c>
      <c r="I814" s="2" t="s">
        <v>63</v>
      </c>
      <c r="J814" s="2" t="s">
        <v>21</v>
      </c>
      <c r="K814" s="2" t="s">
        <v>22</v>
      </c>
      <c r="L814" s="2" t="s">
        <v>4748</v>
      </c>
      <c r="M814" s="2"/>
    </row>
    <row r="815" customFormat="false" ht="15" hidden="false" customHeight="false" outlineLevel="0" collapsed="false">
      <c r="A815" s="2" t="s">
        <v>4749</v>
      </c>
      <c r="B815" s="3" t="s">
        <v>4750</v>
      </c>
      <c r="C815" s="2" t="s">
        <v>4751</v>
      </c>
      <c r="D815" s="2" t="s">
        <v>231</v>
      </c>
      <c r="E815" s="2" t="s">
        <v>53</v>
      </c>
      <c r="F815" s="2" t="s">
        <v>4752</v>
      </c>
      <c r="G815" s="2" t="s">
        <v>4753</v>
      </c>
      <c r="H815" s="2" t="s">
        <v>306</v>
      </c>
      <c r="I815" s="2" t="s">
        <v>48</v>
      </c>
      <c r="J815" s="2" t="s">
        <v>71</v>
      </c>
      <c r="K815" s="2" t="s">
        <v>22</v>
      </c>
      <c r="L815" s="2" t="s">
        <v>4754</v>
      </c>
      <c r="M815" s="2"/>
    </row>
    <row r="816" customFormat="false" ht="15" hidden="false" customHeight="false" outlineLevel="0" collapsed="false">
      <c r="A816" s="2" t="s">
        <v>4755</v>
      </c>
      <c r="B816" s="3" t="s">
        <v>4756</v>
      </c>
      <c r="C816" s="2"/>
      <c r="D816" s="2" t="s">
        <v>251</v>
      </c>
      <c r="E816" s="2" t="s">
        <v>53</v>
      </c>
      <c r="F816" s="2" t="s">
        <v>4757</v>
      </c>
      <c r="G816" s="2" t="s">
        <v>4758</v>
      </c>
      <c r="H816" s="2" t="s">
        <v>521</v>
      </c>
      <c r="I816" s="2" t="s">
        <v>48</v>
      </c>
      <c r="J816" s="2" t="s">
        <v>71</v>
      </c>
      <c r="K816" s="2" t="s">
        <v>72</v>
      </c>
      <c r="L816" s="2" t="s">
        <v>4759</v>
      </c>
      <c r="M816" s="2"/>
    </row>
    <row r="817" customFormat="false" ht="15" hidden="false" customHeight="false" outlineLevel="0" collapsed="false">
      <c r="A817" s="2" t="s">
        <v>4760</v>
      </c>
      <c r="B817" s="3" t="s">
        <v>4761</v>
      </c>
      <c r="C817" s="2" t="s">
        <v>4762</v>
      </c>
      <c r="D817" s="2" t="s">
        <v>106</v>
      </c>
      <c r="E817" s="2" t="s">
        <v>53</v>
      </c>
      <c r="F817" s="2" t="s">
        <v>4763</v>
      </c>
      <c r="G817" s="2" t="s">
        <v>4764</v>
      </c>
      <c r="H817" s="2" t="s">
        <v>110</v>
      </c>
      <c r="I817" s="2" t="s">
        <v>48</v>
      </c>
      <c r="J817" s="2" t="s">
        <v>71</v>
      </c>
      <c r="K817" s="2" t="s">
        <v>72</v>
      </c>
      <c r="L817" s="2" t="s">
        <v>4765</v>
      </c>
      <c r="M817" s="2"/>
    </row>
    <row r="818" customFormat="false" ht="23.85" hidden="false" customHeight="false" outlineLevel="0" collapsed="false">
      <c r="A818" s="2" t="s">
        <v>4766</v>
      </c>
      <c r="B818" s="3" t="s">
        <v>4767</v>
      </c>
      <c r="C818" s="2" t="s">
        <v>4768</v>
      </c>
      <c r="D818" s="2" t="s">
        <v>82</v>
      </c>
      <c r="E818" s="2" t="s">
        <v>1070</v>
      </c>
      <c r="F818" s="2" t="s">
        <v>4769</v>
      </c>
      <c r="G818" s="2" t="s">
        <v>4770</v>
      </c>
      <c r="H818" s="2" t="s">
        <v>329</v>
      </c>
      <c r="I818" s="2" t="s">
        <v>78</v>
      </c>
      <c r="J818" s="2" t="s">
        <v>21</v>
      </c>
      <c r="K818" s="2" t="s">
        <v>72</v>
      </c>
      <c r="L818" s="2" t="s">
        <v>4771</v>
      </c>
      <c r="M818" s="2"/>
    </row>
    <row r="819" customFormat="false" ht="15" hidden="false" customHeight="false" outlineLevel="0" collapsed="false">
      <c r="A819" s="2" t="s">
        <v>4772</v>
      </c>
      <c r="B819" s="3" t="s">
        <v>4773</v>
      </c>
      <c r="C819" s="2" t="s">
        <v>4774</v>
      </c>
      <c r="D819" s="2" t="s">
        <v>251</v>
      </c>
      <c r="E819" s="2" t="s">
        <v>251</v>
      </c>
      <c r="F819" s="2" t="s">
        <v>4775</v>
      </c>
      <c r="G819" s="2" t="s">
        <v>4776</v>
      </c>
      <c r="H819" s="2" t="s">
        <v>255</v>
      </c>
      <c r="I819" s="2" t="s">
        <v>48</v>
      </c>
      <c r="J819" s="2" t="s">
        <v>21</v>
      </c>
      <c r="K819" s="2" t="s">
        <v>22</v>
      </c>
      <c r="L819" s="2" t="s">
        <v>4777</v>
      </c>
      <c r="M819" s="2"/>
    </row>
    <row r="820" customFormat="false" ht="15" hidden="false" customHeight="false" outlineLevel="0" collapsed="false">
      <c r="A820" s="2" t="s">
        <v>4778</v>
      </c>
      <c r="B820" s="3" t="s">
        <v>4779</v>
      </c>
      <c r="C820" s="2"/>
      <c r="D820" s="2" t="s">
        <v>251</v>
      </c>
      <c r="E820" s="2" t="s">
        <v>251</v>
      </c>
      <c r="F820" s="2" t="s">
        <v>4780</v>
      </c>
      <c r="G820" s="2" t="s">
        <v>4781</v>
      </c>
      <c r="H820" s="2" t="s">
        <v>255</v>
      </c>
      <c r="I820" s="2" t="s">
        <v>256</v>
      </c>
      <c r="J820" s="2" t="s">
        <v>21</v>
      </c>
      <c r="K820" s="2" t="s">
        <v>22</v>
      </c>
      <c r="L820" s="2" t="s">
        <v>4772</v>
      </c>
      <c r="M820" s="2"/>
    </row>
    <row r="821" customFormat="false" ht="23.85" hidden="false" customHeight="false" outlineLevel="0" collapsed="false">
      <c r="A821" s="2" t="s">
        <v>4782</v>
      </c>
      <c r="B821" s="3" t="s">
        <v>4783</v>
      </c>
      <c r="C821" s="2" t="s">
        <v>4784</v>
      </c>
      <c r="D821" s="2" t="s">
        <v>34</v>
      </c>
      <c r="E821" s="2" t="s">
        <v>535</v>
      </c>
      <c r="F821" s="2" t="s">
        <v>4785</v>
      </c>
      <c r="G821" s="2" t="s">
        <v>4786</v>
      </c>
      <c r="H821" s="2" t="s">
        <v>288</v>
      </c>
      <c r="I821" s="2" t="s">
        <v>48</v>
      </c>
      <c r="J821" s="2" t="s">
        <v>21</v>
      </c>
      <c r="K821" s="2" t="s">
        <v>22</v>
      </c>
      <c r="L821" s="2" t="s">
        <v>4787</v>
      </c>
      <c r="M821" s="2"/>
    </row>
    <row r="822" customFormat="false" ht="15" hidden="false" customHeight="false" outlineLevel="0" collapsed="false">
      <c r="A822" s="2" t="s">
        <v>4788</v>
      </c>
      <c r="B822" s="3" t="s">
        <v>4789</v>
      </c>
      <c r="C822" s="2" t="s">
        <v>4790</v>
      </c>
      <c r="D822" s="2" t="s">
        <v>15</v>
      </c>
      <c r="E822" s="2" t="s">
        <v>16</v>
      </c>
      <c r="F822" s="2" t="s">
        <v>4791</v>
      </c>
      <c r="G822" s="2" t="s">
        <v>4792</v>
      </c>
      <c r="H822" s="2" t="s">
        <v>47</v>
      </c>
      <c r="I822" s="2" t="s">
        <v>94</v>
      </c>
      <c r="J822" s="2" t="s">
        <v>71</v>
      </c>
      <c r="K822" s="2" t="s">
        <v>22</v>
      </c>
      <c r="L822" s="2" t="s">
        <v>4793</v>
      </c>
      <c r="M822" s="2"/>
    </row>
    <row r="823" customFormat="false" ht="15" hidden="false" customHeight="false" outlineLevel="0" collapsed="false">
      <c r="A823" s="2" t="s">
        <v>4794</v>
      </c>
      <c r="B823" s="3" t="s">
        <v>4795</v>
      </c>
      <c r="C823" s="2"/>
      <c r="D823" s="2" t="s">
        <v>106</v>
      </c>
      <c r="E823" s="2" t="s">
        <v>4796</v>
      </c>
      <c r="F823" s="2" t="s">
        <v>4797</v>
      </c>
      <c r="G823" s="2" t="s">
        <v>4798</v>
      </c>
      <c r="H823" s="2" t="s">
        <v>110</v>
      </c>
      <c r="I823" s="2" t="s">
        <v>111</v>
      </c>
      <c r="J823" s="2" t="s">
        <v>21</v>
      </c>
      <c r="K823" s="2" t="s">
        <v>22</v>
      </c>
      <c r="L823" s="2" t="s">
        <v>1996</v>
      </c>
      <c r="M823" s="2"/>
    </row>
    <row r="824" customFormat="false" ht="15" hidden="false" customHeight="false" outlineLevel="0" collapsed="false">
      <c r="A824" s="2" t="s">
        <v>4799</v>
      </c>
      <c r="B824" s="3" t="s">
        <v>4800</v>
      </c>
      <c r="C824" s="2" t="s">
        <v>4801</v>
      </c>
      <c r="D824" s="2" t="s">
        <v>223</v>
      </c>
      <c r="E824" s="2" t="s">
        <v>53</v>
      </c>
      <c r="F824" s="2" t="s">
        <v>4802</v>
      </c>
      <c r="G824" s="2" t="s">
        <v>4803</v>
      </c>
      <c r="H824" s="2" t="s">
        <v>226</v>
      </c>
      <c r="I824" s="2" t="s">
        <v>508</v>
      </c>
      <c r="J824" s="2" t="s">
        <v>86</v>
      </c>
      <c r="K824" s="2" t="s">
        <v>87</v>
      </c>
      <c r="L824" s="2" t="s">
        <v>4804</v>
      </c>
      <c r="M824" s="2"/>
    </row>
    <row r="825" customFormat="false" ht="15" hidden="false" customHeight="false" outlineLevel="0" collapsed="false">
      <c r="A825" s="2" t="s">
        <v>4805</v>
      </c>
      <c r="B825" s="3" t="s">
        <v>4806</v>
      </c>
      <c r="C825" s="2" t="s">
        <v>4807</v>
      </c>
      <c r="D825" s="2" t="s">
        <v>15</v>
      </c>
      <c r="E825" s="2" t="s">
        <v>188</v>
      </c>
      <c r="F825" s="2" t="s">
        <v>4808</v>
      </c>
      <c r="G825" s="2" t="s">
        <v>4809</v>
      </c>
      <c r="H825" s="2" t="s">
        <v>47</v>
      </c>
      <c r="I825" s="2" t="s">
        <v>48</v>
      </c>
      <c r="J825" s="2" t="s">
        <v>21</v>
      </c>
      <c r="K825" s="2" t="s">
        <v>22</v>
      </c>
      <c r="L825" s="2" t="s">
        <v>4810</v>
      </c>
      <c r="M825" s="2"/>
    </row>
    <row r="826" customFormat="false" ht="23.85" hidden="false" customHeight="false" outlineLevel="0" collapsed="false">
      <c r="A826" s="2" t="s">
        <v>2545</v>
      </c>
      <c r="B826" s="3" t="s">
        <v>4811</v>
      </c>
      <c r="C826" s="2"/>
      <c r="D826" s="2" t="s">
        <v>82</v>
      </c>
      <c r="E826" s="2" t="s">
        <v>116</v>
      </c>
      <c r="F826" s="2" t="s">
        <v>4812</v>
      </c>
      <c r="G826" s="2" t="s">
        <v>4813</v>
      </c>
      <c r="H826" s="2" t="s">
        <v>4814</v>
      </c>
      <c r="I826" s="2" t="s">
        <v>182</v>
      </c>
      <c r="J826" s="2" t="s">
        <v>86</v>
      </c>
      <c r="K826" s="2" t="s">
        <v>72</v>
      </c>
      <c r="L826" s="2" t="s">
        <v>4815</v>
      </c>
      <c r="M826" s="2"/>
    </row>
    <row r="827" customFormat="false" ht="23.85" hidden="false" customHeight="false" outlineLevel="0" collapsed="false">
      <c r="A827" s="2" t="s">
        <v>4816</v>
      </c>
      <c r="B827" s="3" t="s">
        <v>4817</v>
      </c>
      <c r="C827" s="2" t="s">
        <v>4818</v>
      </c>
      <c r="D827" s="2" t="s">
        <v>82</v>
      </c>
      <c r="E827" s="2" t="s">
        <v>91</v>
      </c>
      <c r="F827" s="2" t="s">
        <v>4819</v>
      </c>
      <c r="G827" s="2" t="s">
        <v>4820</v>
      </c>
      <c r="H827" s="2" t="s">
        <v>47</v>
      </c>
      <c r="I827" s="2" t="s">
        <v>20</v>
      </c>
      <c r="J827" s="2" t="s">
        <v>71</v>
      </c>
      <c r="K827" s="2" t="s">
        <v>22</v>
      </c>
      <c r="L827" s="2" t="s">
        <v>4821</v>
      </c>
      <c r="M827" s="2" t="s">
        <v>4822</v>
      </c>
    </row>
    <row r="828" customFormat="false" ht="23.85" hidden="false" customHeight="false" outlineLevel="0" collapsed="false">
      <c r="A828" s="2" t="s">
        <v>4823</v>
      </c>
      <c r="B828" s="3" t="s">
        <v>4824</v>
      </c>
      <c r="C828" s="2"/>
      <c r="D828" s="2" t="s">
        <v>179</v>
      </c>
      <c r="E828" s="2" t="s">
        <v>53</v>
      </c>
      <c r="F828" s="2" t="s">
        <v>4825</v>
      </c>
      <c r="G828" s="2" t="s">
        <v>4826</v>
      </c>
      <c r="H828" s="2" t="s">
        <v>4827</v>
      </c>
      <c r="I828" s="2" t="s">
        <v>182</v>
      </c>
      <c r="J828" s="2" t="s">
        <v>86</v>
      </c>
      <c r="K828" s="2" t="s">
        <v>87</v>
      </c>
      <c r="L828" s="2" t="s">
        <v>4828</v>
      </c>
      <c r="M828" s="2"/>
    </row>
    <row r="829" customFormat="false" ht="23.85" hidden="false" customHeight="false" outlineLevel="0" collapsed="false">
      <c r="A829" s="2" t="s">
        <v>4829</v>
      </c>
      <c r="B829" s="3" t="s">
        <v>4830</v>
      </c>
      <c r="C829" s="2"/>
      <c r="D829" s="2" t="s">
        <v>106</v>
      </c>
      <c r="E829" s="2" t="s">
        <v>99</v>
      </c>
      <c r="F829" s="2" t="s">
        <v>4831</v>
      </c>
      <c r="G829" s="2" t="s">
        <v>4832</v>
      </c>
      <c r="H829" s="2" t="s">
        <v>110</v>
      </c>
      <c r="I829" s="2" t="s">
        <v>111</v>
      </c>
      <c r="J829" s="2" t="s">
        <v>21</v>
      </c>
      <c r="K829" s="2" t="s">
        <v>22</v>
      </c>
      <c r="L829" s="2" t="s">
        <v>4833</v>
      </c>
      <c r="M829" s="2" t="s">
        <v>4834</v>
      </c>
    </row>
    <row r="830" customFormat="false" ht="23.85" hidden="false" customHeight="false" outlineLevel="0" collapsed="false">
      <c r="A830" s="2" t="s">
        <v>4835</v>
      </c>
      <c r="B830" s="3" t="s">
        <v>4836</v>
      </c>
      <c r="C830" s="2"/>
      <c r="D830" s="2" t="s">
        <v>34</v>
      </c>
      <c r="E830" s="2" t="s">
        <v>53</v>
      </c>
      <c r="F830" s="2" t="s">
        <v>4837</v>
      </c>
      <c r="G830" s="2" t="s">
        <v>4838</v>
      </c>
      <c r="H830" s="2" t="s">
        <v>823</v>
      </c>
      <c r="I830" s="2" t="s">
        <v>48</v>
      </c>
      <c r="J830" s="2" t="s">
        <v>71</v>
      </c>
      <c r="K830" s="2" t="s">
        <v>72</v>
      </c>
      <c r="L830" s="2" t="s">
        <v>4839</v>
      </c>
      <c r="M830" s="2"/>
    </row>
    <row r="831" customFormat="false" ht="23.85" hidden="false" customHeight="false" outlineLevel="0" collapsed="false">
      <c r="A831" s="2" t="s">
        <v>4840</v>
      </c>
      <c r="B831" s="3" t="s">
        <v>4841</v>
      </c>
      <c r="C831" s="2" t="s">
        <v>4842</v>
      </c>
      <c r="D831" s="2" t="s">
        <v>34</v>
      </c>
      <c r="E831" s="2" t="s">
        <v>116</v>
      </c>
      <c r="F831" s="2" t="s">
        <v>4843</v>
      </c>
      <c r="G831" s="2" t="s">
        <v>4844</v>
      </c>
      <c r="H831" s="2" t="s">
        <v>4845</v>
      </c>
      <c r="I831" s="2" t="s">
        <v>508</v>
      </c>
      <c r="J831" s="2" t="s">
        <v>71</v>
      </c>
      <c r="K831" s="2" t="s">
        <v>72</v>
      </c>
      <c r="L831" s="2" t="s">
        <v>4846</v>
      </c>
      <c r="M831" s="2"/>
    </row>
    <row r="832" customFormat="false" ht="23.85" hidden="false" customHeight="false" outlineLevel="0" collapsed="false">
      <c r="A832" s="2" t="s">
        <v>4847</v>
      </c>
      <c r="B832" s="3" t="s">
        <v>4848</v>
      </c>
      <c r="C832" s="2"/>
      <c r="D832" s="2" t="s">
        <v>179</v>
      </c>
      <c r="E832" s="2" t="s">
        <v>53</v>
      </c>
      <c r="F832" s="2" t="s">
        <v>4849</v>
      </c>
      <c r="G832" s="2" t="s">
        <v>4850</v>
      </c>
      <c r="H832" s="2"/>
      <c r="I832" s="2" t="s">
        <v>48</v>
      </c>
      <c r="J832" s="2" t="s">
        <v>86</v>
      </c>
      <c r="K832" s="2" t="s">
        <v>22</v>
      </c>
      <c r="L832" s="2" t="s">
        <v>4851</v>
      </c>
      <c r="M832" s="2"/>
    </row>
    <row r="833" customFormat="false" ht="23.85" hidden="false" customHeight="false" outlineLevel="0" collapsed="false">
      <c r="A833" s="2" t="s">
        <v>4852</v>
      </c>
      <c r="B833" s="3" t="s">
        <v>4853</v>
      </c>
      <c r="C833" s="2" t="s">
        <v>4854</v>
      </c>
      <c r="D833" s="2" t="s">
        <v>179</v>
      </c>
      <c r="E833" s="2" t="s">
        <v>53</v>
      </c>
      <c r="F833" s="2" t="s">
        <v>4855</v>
      </c>
      <c r="G833" s="2" t="s">
        <v>4856</v>
      </c>
      <c r="H833" s="2"/>
      <c r="I833" s="2" t="s">
        <v>20</v>
      </c>
      <c r="J833" s="2" t="s">
        <v>86</v>
      </c>
      <c r="K833" s="2" t="s">
        <v>22</v>
      </c>
      <c r="L833" s="2" t="s">
        <v>4857</v>
      </c>
      <c r="M833" s="2"/>
    </row>
    <row r="834" customFormat="false" ht="23.85" hidden="false" customHeight="false" outlineLevel="0" collapsed="false">
      <c r="A834" s="2" t="s">
        <v>4858</v>
      </c>
      <c r="B834" s="3" t="s">
        <v>4859</v>
      </c>
      <c r="C834" s="2"/>
      <c r="D834" s="2" t="s">
        <v>34</v>
      </c>
      <c r="E834" s="2" t="s">
        <v>789</v>
      </c>
      <c r="F834" s="2" t="s">
        <v>4860</v>
      </c>
      <c r="G834" s="2" t="s">
        <v>4861</v>
      </c>
      <c r="H834" s="2" t="s">
        <v>288</v>
      </c>
      <c r="I834" s="2" t="s">
        <v>78</v>
      </c>
      <c r="J834" s="2" t="s">
        <v>21</v>
      </c>
      <c r="K834" s="2" t="s">
        <v>22</v>
      </c>
      <c r="L834" s="2" t="s">
        <v>2216</v>
      </c>
      <c r="M834" s="2"/>
    </row>
    <row r="835" customFormat="false" ht="15" hidden="false" customHeight="false" outlineLevel="0" collapsed="false">
      <c r="A835" s="2" t="s">
        <v>4862</v>
      </c>
      <c r="B835" s="3" t="s">
        <v>4863</v>
      </c>
      <c r="C835" s="2" t="s">
        <v>4864</v>
      </c>
      <c r="D835" s="2" t="s">
        <v>179</v>
      </c>
      <c r="E835" s="2" t="s">
        <v>53</v>
      </c>
      <c r="F835" s="2" t="s">
        <v>4865</v>
      </c>
      <c r="G835" s="2" t="s">
        <v>4866</v>
      </c>
      <c r="H835" s="2"/>
      <c r="I835" s="2" t="s">
        <v>48</v>
      </c>
      <c r="J835" s="2" t="s">
        <v>71</v>
      </c>
      <c r="K835" s="2" t="s">
        <v>22</v>
      </c>
      <c r="L835" s="2" t="s">
        <v>4867</v>
      </c>
      <c r="M835" s="2"/>
    </row>
    <row r="836" customFormat="false" ht="23.85" hidden="false" customHeight="false" outlineLevel="0" collapsed="false">
      <c r="A836" s="2" t="s">
        <v>4472</v>
      </c>
      <c r="B836" s="3" t="s">
        <v>4868</v>
      </c>
      <c r="C836" s="2" t="s">
        <v>4869</v>
      </c>
      <c r="D836" s="2" t="s">
        <v>179</v>
      </c>
      <c r="E836" s="2" t="s">
        <v>4469</v>
      </c>
      <c r="F836" s="2" t="s">
        <v>4870</v>
      </c>
      <c r="G836" s="2" t="s">
        <v>4871</v>
      </c>
      <c r="H836" s="2"/>
      <c r="I836" s="2" t="s">
        <v>48</v>
      </c>
      <c r="J836" s="2" t="s">
        <v>21</v>
      </c>
      <c r="K836" s="2" t="s">
        <v>22</v>
      </c>
      <c r="L836" s="2" t="s">
        <v>4872</v>
      </c>
      <c r="M836" s="2" t="s">
        <v>4873</v>
      </c>
    </row>
    <row r="837" customFormat="false" ht="15" hidden="false" customHeight="false" outlineLevel="0" collapsed="false">
      <c r="A837" s="2" t="s">
        <v>4874</v>
      </c>
      <c r="B837" s="3" t="s">
        <v>4875</v>
      </c>
      <c r="C837" s="2"/>
      <c r="D837" s="2" t="s">
        <v>34</v>
      </c>
      <c r="E837" s="2" t="s">
        <v>53</v>
      </c>
      <c r="F837" s="2" t="s">
        <v>4876</v>
      </c>
      <c r="G837" s="2" t="s">
        <v>4877</v>
      </c>
      <c r="H837" s="2" t="s">
        <v>38</v>
      </c>
      <c r="I837" s="2" t="s">
        <v>48</v>
      </c>
      <c r="J837" s="2" t="s">
        <v>71</v>
      </c>
      <c r="K837" s="2" t="s">
        <v>22</v>
      </c>
      <c r="L837" s="2" t="s">
        <v>4878</v>
      </c>
      <c r="M837" s="2"/>
    </row>
    <row r="838" customFormat="false" ht="23.85" hidden="false" customHeight="false" outlineLevel="0" collapsed="false">
      <c r="A838" s="2" t="s">
        <v>4879</v>
      </c>
      <c r="B838" s="3" t="s">
        <v>4880</v>
      </c>
      <c r="C838" s="2"/>
      <c r="D838" s="2" t="s">
        <v>179</v>
      </c>
      <c r="E838" s="2" t="s">
        <v>53</v>
      </c>
      <c r="F838" s="2" t="s">
        <v>4881</v>
      </c>
      <c r="G838" s="2" t="s">
        <v>4882</v>
      </c>
      <c r="H838" s="2" t="s">
        <v>47</v>
      </c>
      <c r="I838" s="2" t="s">
        <v>48</v>
      </c>
      <c r="J838" s="2" t="s">
        <v>71</v>
      </c>
      <c r="K838" s="2" t="s">
        <v>22</v>
      </c>
      <c r="L838" s="2" t="s">
        <v>4883</v>
      </c>
      <c r="M838" s="2"/>
    </row>
    <row r="839" customFormat="false" ht="23.85" hidden="false" customHeight="false" outlineLevel="0" collapsed="false">
      <c r="A839" s="2" t="s">
        <v>4884</v>
      </c>
      <c r="B839" s="3" t="s">
        <v>4885</v>
      </c>
      <c r="C839" s="2" t="s">
        <v>4886</v>
      </c>
      <c r="D839" s="2" t="s">
        <v>106</v>
      </c>
      <c r="E839" s="2" t="s">
        <v>252</v>
      </c>
      <c r="F839" s="2" t="s">
        <v>4887</v>
      </c>
      <c r="G839" s="2" t="s">
        <v>4888</v>
      </c>
      <c r="H839" s="2" t="s">
        <v>110</v>
      </c>
      <c r="I839" s="2" t="s">
        <v>256</v>
      </c>
      <c r="J839" s="2" t="s">
        <v>21</v>
      </c>
      <c r="K839" s="2" t="s">
        <v>22</v>
      </c>
      <c r="L839" s="2" t="s">
        <v>2266</v>
      </c>
      <c r="M839" s="2"/>
    </row>
    <row r="840" customFormat="false" ht="15" hidden="false" customHeight="false" outlineLevel="0" collapsed="false">
      <c r="A840" s="2" t="s">
        <v>4889</v>
      </c>
      <c r="B840" s="3" t="s">
        <v>4890</v>
      </c>
      <c r="C840" s="2" t="s">
        <v>4891</v>
      </c>
      <c r="D840" s="2" t="s">
        <v>238</v>
      </c>
      <c r="E840" s="2" t="s">
        <v>53</v>
      </c>
      <c r="F840" s="2" t="s">
        <v>4892</v>
      </c>
      <c r="G840" s="2" t="s">
        <v>4893</v>
      </c>
      <c r="H840" s="2" t="s">
        <v>4894</v>
      </c>
      <c r="I840" s="2" t="s">
        <v>48</v>
      </c>
      <c r="J840" s="2" t="s">
        <v>21</v>
      </c>
      <c r="K840" s="2" t="s">
        <v>72</v>
      </c>
      <c r="L840" s="2" t="s">
        <v>4895</v>
      </c>
      <c r="M840" s="2"/>
    </row>
    <row r="841" customFormat="false" ht="15" hidden="false" customHeight="false" outlineLevel="0" collapsed="false">
      <c r="A841" s="2" t="s">
        <v>4896</v>
      </c>
      <c r="B841" s="3" t="s">
        <v>4897</v>
      </c>
      <c r="C841" s="2" t="s">
        <v>4898</v>
      </c>
      <c r="D841" s="2" t="s">
        <v>238</v>
      </c>
      <c r="E841" s="2" t="s">
        <v>2201</v>
      </c>
      <c r="F841" s="2" t="s">
        <v>4899</v>
      </c>
      <c r="G841" s="2" t="s">
        <v>4900</v>
      </c>
      <c r="H841" s="2" t="s">
        <v>241</v>
      </c>
      <c r="I841" s="2" t="s">
        <v>48</v>
      </c>
      <c r="J841" s="2" t="s">
        <v>71</v>
      </c>
      <c r="K841" s="2" t="s">
        <v>22</v>
      </c>
      <c r="L841" s="2" t="s">
        <v>4901</v>
      </c>
      <c r="M841" s="2"/>
    </row>
    <row r="842" customFormat="false" ht="15" hidden="false" customHeight="false" outlineLevel="0" collapsed="false">
      <c r="A842" s="2" t="s">
        <v>4902</v>
      </c>
      <c r="B842" s="3" t="s">
        <v>4903</v>
      </c>
      <c r="C842" s="2" t="s">
        <v>4904</v>
      </c>
      <c r="D842" s="2" t="s">
        <v>82</v>
      </c>
      <c r="E842" s="2" t="s">
        <v>91</v>
      </c>
      <c r="F842" s="2" t="s">
        <v>4905</v>
      </c>
      <c r="G842" s="2" t="s">
        <v>4906</v>
      </c>
      <c r="H842" s="2" t="s">
        <v>675</v>
      </c>
      <c r="I842" s="2" t="s">
        <v>799</v>
      </c>
      <c r="J842" s="2" t="s">
        <v>86</v>
      </c>
      <c r="K842" s="2" t="s">
        <v>72</v>
      </c>
      <c r="L842" s="2" t="s">
        <v>4677</v>
      </c>
      <c r="M842" s="2"/>
    </row>
    <row r="843" customFormat="false" ht="15" hidden="false" customHeight="false" outlineLevel="0" collapsed="false">
      <c r="A843" s="2" t="s">
        <v>4907</v>
      </c>
      <c r="B843" s="3" t="s">
        <v>4908</v>
      </c>
      <c r="C843" s="2" t="s">
        <v>4909</v>
      </c>
      <c r="D843" s="2" t="s">
        <v>82</v>
      </c>
      <c r="E843" s="2" t="s">
        <v>216</v>
      </c>
      <c r="F843" s="2" t="s">
        <v>4910</v>
      </c>
      <c r="G843" s="2" t="s">
        <v>4911</v>
      </c>
      <c r="H843" s="2" t="s">
        <v>47</v>
      </c>
      <c r="I843" s="2" t="s">
        <v>85</v>
      </c>
      <c r="J843" s="2" t="s">
        <v>71</v>
      </c>
      <c r="K843" s="2" t="s">
        <v>22</v>
      </c>
      <c r="L843" s="2" t="s">
        <v>4912</v>
      </c>
      <c r="M843" s="2" t="s">
        <v>4913</v>
      </c>
    </row>
    <row r="844" customFormat="false" ht="15" hidden="false" customHeight="false" outlineLevel="0" collapsed="false">
      <c r="A844" s="2" t="s">
        <v>4914</v>
      </c>
      <c r="B844" s="3" t="s">
        <v>4915</v>
      </c>
      <c r="C844" s="2" t="s">
        <v>4916</v>
      </c>
      <c r="D844" s="2" t="s">
        <v>106</v>
      </c>
      <c r="E844" s="2" t="s">
        <v>53</v>
      </c>
      <c r="F844" s="2" t="s">
        <v>4917</v>
      </c>
      <c r="G844" s="2" t="s">
        <v>4918</v>
      </c>
      <c r="H844" s="2" t="s">
        <v>110</v>
      </c>
      <c r="I844" s="2" t="s">
        <v>111</v>
      </c>
      <c r="J844" s="2" t="s">
        <v>21</v>
      </c>
      <c r="K844" s="2" t="s">
        <v>22</v>
      </c>
      <c r="L844" s="2" t="s">
        <v>4182</v>
      </c>
      <c r="M844" s="2"/>
    </row>
    <row r="845" customFormat="false" ht="23.85" hidden="false" customHeight="false" outlineLevel="0" collapsed="false">
      <c r="A845" s="2" t="s">
        <v>4919</v>
      </c>
      <c r="B845" s="3" t="s">
        <v>4920</v>
      </c>
      <c r="C845" s="2"/>
      <c r="D845" s="2" t="s">
        <v>59</v>
      </c>
      <c r="E845" s="2" t="s">
        <v>1294</v>
      </c>
      <c r="F845" s="2" t="s">
        <v>4921</v>
      </c>
      <c r="G845" s="2" t="s">
        <v>4922</v>
      </c>
      <c r="H845" s="2" t="s">
        <v>543</v>
      </c>
      <c r="I845" s="2" t="s">
        <v>78</v>
      </c>
      <c r="J845" s="2" t="s">
        <v>71</v>
      </c>
      <c r="K845" s="2" t="s">
        <v>72</v>
      </c>
      <c r="L845" s="2" t="s">
        <v>4923</v>
      </c>
      <c r="M845" s="2"/>
    </row>
    <row r="846" customFormat="false" ht="15" hidden="false" customHeight="false" outlineLevel="0" collapsed="false">
      <c r="A846" s="2" t="s">
        <v>4924</v>
      </c>
      <c r="B846" s="3" t="s">
        <v>4925</v>
      </c>
      <c r="C846" s="2" t="s">
        <v>4926</v>
      </c>
      <c r="D846" s="2" t="s">
        <v>59</v>
      </c>
      <c r="E846" s="2" t="s">
        <v>91</v>
      </c>
      <c r="F846" s="2" t="s">
        <v>4927</v>
      </c>
      <c r="G846" s="2" t="s">
        <v>4928</v>
      </c>
      <c r="H846" s="2" t="s">
        <v>543</v>
      </c>
      <c r="I846" s="2" t="s">
        <v>138</v>
      </c>
      <c r="J846" s="2" t="s">
        <v>71</v>
      </c>
      <c r="K846" s="2" t="s">
        <v>72</v>
      </c>
      <c r="L846" s="2" t="s">
        <v>4929</v>
      </c>
      <c r="M846" s="2" t="s">
        <v>4930</v>
      </c>
    </row>
    <row r="847" customFormat="false" ht="23.85" hidden="false" customHeight="false" outlineLevel="0" collapsed="false">
      <c r="A847" s="2" t="s">
        <v>4931</v>
      </c>
      <c r="B847" s="3" t="s">
        <v>4932</v>
      </c>
      <c r="C847" s="2"/>
      <c r="D847" s="2" t="s">
        <v>82</v>
      </c>
      <c r="E847" s="2" t="s">
        <v>53</v>
      </c>
      <c r="F847" s="2" t="s">
        <v>4933</v>
      </c>
      <c r="G847" s="2" t="s">
        <v>4934</v>
      </c>
      <c r="H847" s="2" t="s">
        <v>47</v>
      </c>
      <c r="I847" s="2" t="s">
        <v>63</v>
      </c>
      <c r="J847" s="2" t="s">
        <v>71</v>
      </c>
      <c r="K847" s="2" t="s">
        <v>22</v>
      </c>
      <c r="L847" s="2" t="s">
        <v>3821</v>
      </c>
      <c r="M847" s="2"/>
    </row>
    <row r="848" customFormat="false" ht="15" hidden="false" customHeight="false" outlineLevel="0" collapsed="false">
      <c r="A848" s="2" t="s">
        <v>4935</v>
      </c>
      <c r="B848" s="3" t="s">
        <v>4936</v>
      </c>
      <c r="C848" s="2"/>
      <c r="D848" s="2" t="s">
        <v>82</v>
      </c>
      <c r="E848" s="2" t="s">
        <v>53</v>
      </c>
      <c r="F848" s="2" t="s">
        <v>4937</v>
      </c>
      <c r="G848" s="2" t="s">
        <v>4938</v>
      </c>
      <c r="H848" s="2" t="s">
        <v>675</v>
      </c>
      <c r="I848" s="2" t="s">
        <v>29</v>
      </c>
      <c r="J848" s="2" t="s">
        <v>86</v>
      </c>
      <c r="K848" s="2" t="s">
        <v>87</v>
      </c>
      <c r="L848" s="2" t="s">
        <v>4939</v>
      </c>
      <c r="M848" s="2"/>
    </row>
    <row r="849" customFormat="false" ht="23.85" hidden="false" customHeight="false" outlineLevel="0" collapsed="false">
      <c r="A849" s="2" t="s">
        <v>4940</v>
      </c>
      <c r="B849" s="3" t="s">
        <v>4941</v>
      </c>
      <c r="C849" s="2"/>
      <c r="D849" s="2" t="s">
        <v>106</v>
      </c>
      <c r="E849" s="2" t="s">
        <v>3308</v>
      </c>
      <c r="F849" s="2" t="s">
        <v>4942</v>
      </c>
      <c r="G849" s="2" t="s">
        <v>4943</v>
      </c>
      <c r="H849" s="2" t="s">
        <v>110</v>
      </c>
      <c r="I849" s="2" t="s">
        <v>111</v>
      </c>
      <c r="J849" s="2" t="s">
        <v>21</v>
      </c>
      <c r="K849" s="2" t="s">
        <v>22</v>
      </c>
      <c r="L849" s="2" t="s">
        <v>4944</v>
      </c>
      <c r="M849" s="2"/>
    </row>
    <row r="850" customFormat="false" ht="23.85" hidden="false" customHeight="false" outlineLevel="0" collapsed="false">
      <c r="A850" s="2" t="s">
        <v>4945</v>
      </c>
      <c r="B850" s="3" t="s">
        <v>4946</v>
      </c>
      <c r="C850" s="2"/>
      <c r="D850" s="2" t="s">
        <v>34</v>
      </c>
      <c r="E850" s="2" t="s">
        <v>208</v>
      </c>
      <c r="F850" s="2" t="s">
        <v>4947</v>
      </c>
      <c r="G850" s="2" t="s">
        <v>4948</v>
      </c>
      <c r="H850" s="2" t="s">
        <v>288</v>
      </c>
      <c r="I850" s="2" t="s">
        <v>29</v>
      </c>
      <c r="J850" s="2" t="s">
        <v>21</v>
      </c>
      <c r="K850" s="2" t="s">
        <v>72</v>
      </c>
      <c r="L850" s="2" t="s">
        <v>4949</v>
      </c>
      <c r="M850" s="2" t="s">
        <v>4950</v>
      </c>
    </row>
    <row r="851" customFormat="false" ht="15" hidden="false" customHeight="false" outlineLevel="0" collapsed="false">
      <c r="A851" s="2" t="s">
        <v>4951</v>
      </c>
      <c r="B851" s="3" t="s">
        <v>4952</v>
      </c>
      <c r="C851" s="2" t="s">
        <v>4953</v>
      </c>
      <c r="D851" s="2" t="s">
        <v>82</v>
      </c>
      <c r="E851" s="2" t="s">
        <v>216</v>
      </c>
      <c r="F851" s="2" t="s">
        <v>4954</v>
      </c>
      <c r="G851" s="2" t="s">
        <v>4955</v>
      </c>
      <c r="H851" s="2" t="s">
        <v>329</v>
      </c>
      <c r="I851" s="2" t="s">
        <v>85</v>
      </c>
      <c r="J851" s="2" t="s">
        <v>86</v>
      </c>
      <c r="K851" s="2" t="s">
        <v>72</v>
      </c>
      <c r="L851" s="2" t="s">
        <v>4956</v>
      </c>
      <c r="M851" s="2"/>
    </row>
    <row r="852" customFormat="false" ht="15" hidden="false" customHeight="false" outlineLevel="0" collapsed="false">
      <c r="A852" s="2" t="s">
        <v>4957</v>
      </c>
      <c r="B852" s="3" t="s">
        <v>4958</v>
      </c>
      <c r="C852" s="2"/>
      <c r="D852" s="2" t="s">
        <v>82</v>
      </c>
      <c r="E852" s="2" t="s">
        <v>312</v>
      </c>
      <c r="F852" s="2" t="s">
        <v>4959</v>
      </c>
      <c r="G852" s="2" t="s">
        <v>4960</v>
      </c>
      <c r="H852" s="2" t="s">
        <v>47</v>
      </c>
      <c r="I852" s="2" t="s">
        <v>63</v>
      </c>
      <c r="J852" s="2" t="s">
        <v>21</v>
      </c>
      <c r="K852" s="2" t="s">
        <v>22</v>
      </c>
      <c r="L852" s="2" t="s">
        <v>4961</v>
      </c>
      <c r="M852" s="2"/>
    </row>
    <row r="853" customFormat="false" ht="23.85" hidden="false" customHeight="false" outlineLevel="0" collapsed="false">
      <c r="A853" s="2" t="s">
        <v>2439</v>
      </c>
      <c r="B853" s="3" t="s">
        <v>4962</v>
      </c>
      <c r="C853" s="2" t="s">
        <v>4963</v>
      </c>
      <c r="D853" s="2" t="s">
        <v>15</v>
      </c>
      <c r="E853" s="2" t="s">
        <v>99</v>
      </c>
      <c r="F853" s="2" t="s">
        <v>4964</v>
      </c>
      <c r="G853" s="2" t="s">
        <v>4965</v>
      </c>
      <c r="H853" s="2" t="s">
        <v>47</v>
      </c>
      <c r="I853" s="2" t="s">
        <v>78</v>
      </c>
      <c r="J853" s="2" t="s">
        <v>71</v>
      </c>
      <c r="K853" s="2" t="s">
        <v>72</v>
      </c>
      <c r="L853" s="2" t="s">
        <v>4966</v>
      </c>
      <c r="M853" s="2" t="s">
        <v>4967</v>
      </c>
    </row>
    <row r="854" customFormat="false" ht="23.85" hidden="false" customHeight="false" outlineLevel="0" collapsed="false">
      <c r="A854" s="2" t="s">
        <v>4968</v>
      </c>
      <c r="B854" s="3" t="s">
        <v>4864</v>
      </c>
      <c r="C854" s="2" t="s">
        <v>4969</v>
      </c>
      <c r="D854" s="2" t="s">
        <v>179</v>
      </c>
      <c r="E854" s="2" t="s">
        <v>2079</v>
      </c>
      <c r="F854" s="2" t="s">
        <v>4970</v>
      </c>
      <c r="G854" s="2" t="s">
        <v>4971</v>
      </c>
      <c r="H854" s="2"/>
      <c r="I854" s="2" t="s">
        <v>78</v>
      </c>
      <c r="J854" s="2" t="s">
        <v>71</v>
      </c>
      <c r="K854" s="2" t="s">
        <v>72</v>
      </c>
      <c r="L854" s="2" t="s">
        <v>4972</v>
      </c>
      <c r="M854" s="2" t="s">
        <v>4973</v>
      </c>
    </row>
    <row r="855" customFormat="false" ht="23.85" hidden="false" customHeight="false" outlineLevel="0" collapsed="false">
      <c r="A855" s="2" t="s">
        <v>4974</v>
      </c>
      <c r="B855" s="3" t="s">
        <v>4975</v>
      </c>
      <c r="C855" s="2" t="s">
        <v>4976</v>
      </c>
      <c r="D855" s="2" t="s">
        <v>82</v>
      </c>
      <c r="E855" s="2" t="s">
        <v>1381</v>
      </c>
      <c r="F855" s="2" t="s">
        <v>4977</v>
      </c>
      <c r="G855" s="2" t="s">
        <v>4978</v>
      </c>
      <c r="H855" s="2" t="s">
        <v>329</v>
      </c>
      <c r="I855" s="2" t="s">
        <v>48</v>
      </c>
      <c r="J855" s="2" t="s">
        <v>21</v>
      </c>
      <c r="K855" s="2" t="s">
        <v>72</v>
      </c>
      <c r="L855" s="2" t="s">
        <v>4979</v>
      </c>
      <c r="M855" s="2"/>
    </row>
    <row r="856" customFormat="false" ht="23.85" hidden="false" customHeight="false" outlineLevel="0" collapsed="false">
      <c r="A856" s="2" t="s">
        <v>4980</v>
      </c>
      <c r="B856" s="3" t="s">
        <v>4981</v>
      </c>
      <c r="C856" s="2" t="s">
        <v>4982</v>
      </c>
      <c r="D856" s="2" t="s">
        <v>43</v>
      </c>
      <c r="E856" s="2" t="s">
        <v>53</v>
      </c>
      <c r="F856" s="2" t="s">
        <v>4983</v>
      </c>
      <c r="G856" s="2" t="s">
        <v>4984</v>
      </c>
      <c r="H856" s="2" t="s">
        <v>241</v>
      </c>
      <c r="I856" s="2" t="s">
        <v>78</v>
      </c>
      <c r="J856" s="2" t="s">
        <v>71</v>
      </c>
      <c r="K856" s="2" t="s">
        <v>22</v>
      </c>
      <c r="L856" s="2" t="s">
        <v>4985</v>
      </c>
      <c r="M856" s="2"/>
    </row>
    <row r="857" customFormat="false" ht="23.85" hidden="false" customHeight="false" outlineLevel="0" collapsed="false">
      <c r="A857" s="2" t="s">
        <v>2853</v>
      </c>
      <c r="B857" s="3" t="s">
        <v>4986</v>
      </c>
      <c r="C857" s="2" t="s">
        <v>4987</v>
      </c>
      <c r="D857" s="2" t="s">
        <v>82</v>
      </c>
      <c r="E857" s="2" t="s">
        <v>1381</v>
      </c>
      <c r="F857" s="2" t="s">
        <v>4988</v>
      </c>
      <c r="G857" s="2" t="s">
        <v>4989</v>
      </c>
      <c r="H857" s="2" t="s">
        <v>47</v>
      </c>
      <c r="I857" s="2" t="s">
        <v>63</v>
      </c>
      <c r="J857" s="2" t="s">
        <v>21</v>
      </c>
      <c r="K857" s="2" t="s">
        <v>22</v>
      </c>
      <c r="L857" s="2" t="s">
        <v>4990</v>
      </c>
      <c r="M857" s="2"/>
    </row>
    <row r="858" customFormat="false" ht="23.85" hidden="false" customHeight="false" outlineLevel="0" collapsed="false">
      <c r="A858" s="2" t="s">
        <v>4991</v>
      </c>
      <c r="B858" s="3" t="s">
        <v>4992</v>
      </c>
      <c r="C858" s="2" t="s">
        <v>4993</v>
      </c>
      <c r="D858" s="2" t="s">
        <v>106</v>
      </c>
      <c r="E858" s="2" t="s">
        <v>53</v>
      </c>
      <c r="F858" s="2" t="s">
        <v>4994</v>
      </c>
      <c r="G858" s="2" t="s">
        <v>4995</v>
      </c>
      <c r="H858" s="2" t="s">
        <v>905</v>
      </c>
      <c r="I858" s="2" t="s">
        <v>78</v>
      </c>
      <c r="J858" s="2" t="s">
        <v>71</v>
      </c>
      <c r="K858" s="2" t="s">
        <v>72</v>
      </c>
      <c r="L858" s="2" t="s">
        <v>4996</v>
      </c>
      <c r="M858" s="2"/>
    </row>
    <row r="859" customFormat="false" ht="23.85" hidden="false" customHeight="false" outlineLevel="0" collapsed="false">
      <c r="A859" s="2" t="s">
        <v>4997</v>
      </c>
      <c r="B859" s="3" t="s">
        <v>4998</v>
      </c>
      <c r="C859" s="2"/>
      <c r="D859" s="2" t="s">
        <v>223</v>
      </c>
      <c r="E859" s="2" t="s">
        <v>53</v>
      </c>
      <c r="F859" s="2" t="s">
        <v>4999</v>
      </c>
      <c r="G859" s="2" t="s">
        <v>5000</v>
      </c>
      <c r="H859" s="2" t="s">
        <v>226</v>
      </c>
      <c r="I859" s="2" t="s">
        <v>29</v>
      </c>
      <c r="J859" s="2" t="s">
        <v>71</v>
      </c>
      <c r="K859" s="2" t="s">
        <v>72</v>
      </c>
      <c r="L859" s="2" t="s">
        <v>5001</v>
      </c>
      <c r="M859" s="2" t="s">
        <v>5002</v>
      </c>
    </row>
    <row r="860" customFormat="false" ht="23.85" hidden="false" customHeight="false" outlineLevel="0" collapsed="false">
      <c r="A860" s="2" t="s">
        <v>5003</v>
      </c>
      <c r="B860" s="3" t="s">
        <v>5004</v>
      </c>
      <c r="C860" s="2"/>
      <c r="D860" s="2" t="s">
        <v>106</v>
      </c>
      <c r="E860" s="2" t="s">
        <v>35</v>
      </c>
      <c r="F860" s="2" t="s">
        <v>5005</v>
      </c>
      <c r="G860" s="2" t="s">
        <v>5006</v>
      </c>
      <c r="H860" s="2" t="s">
        <v>110</v>
      </c>
      <c r="I860" s="2" t="s">
        <v>78</v>
      </c>
      <c r="J860" s="2" t="s">
        <v>21</v>
      </c>
      <c r="K860" s="2" t="s">
        <v>22</v>
      </c>
      <c r="L860" s="2" t="s">
        <v>3197</v>
      </c>
      <c r="M860" s="2"/>
    </row>
    <row r="861" customFormat="false" ht="23.85" hidden="false" customHeight="false" outlineLevel="0" collapsed="false">
      <c r="A861" s="2" t="s">
        <v>5007</v>
      </c>
      <c r="B861" s="3" t="s">
        <v>5008</v>
      </c>
      <c r="C861" s="2" t="s">
        <v>5009</v>
      </c>
      <c r="D861" s="2" t="s">
        <v>15</v>
      </c>
      <c r="E861" s="2" t="s">
        <v>99</v>
      </c>
      <c r="F861" s="2" t="s">
        <v>5010</v>
      </c>
      <c r="G861" s="2" t="s">
        <v>5011</v>
      </c>
      <c r="H861" s="2" t="s">
        <v>47</v>
      </c>
      <c r="I861" s="2" t="s">
        <v>138</v>
      </c>
      <c r="J861" s="2" t="s">
        <v>86</v>
      </c>
      <c r="K861" s="2" t="s">
        <v>72</v>
      </c>
      <c r="L861" s="2" t="s">
        <v>5012</v>
      </c>
      <c r="M861" s="2" t="s">
        <v>5013</v>
      </c>
    </row>
    <row r="862" customFormat="false" ht="23.85" hidden="false" customHeight="false" outlineLevel="0" collapsed="false">
      <c r="A862" s="2" t="s">
        <v>5014</v>
      </c>
      <c r="B862" s="3" t="s">
        <v>5015</v>
      </c>
      <c r="C862" s="2" t="s">
        <v>5016</v>
      </c>
      <c r="D862" s="2" t="s">
        <v>15</v>
      </c>
      <c r="E862" s="2" t="s">
        <v>99</v>
      </c>
      <c r="F862" s="2" t="s">
        <v>5017</v>
      </c>
      <c r="G862" s="2" t="s">
        <v>5018</v>
      </c>
      <c r="H862" s="2" t="s">
        <v>47</v>
      </c>
      <c r="I862" s="2" t="s">
        <v>94</v>
      </c>
      <c r="J862" s="2" t="s">
        <v>71</v>
      </c>
      <c r="K862" s="2" t="s">
        <v>72</v>
      </c>
      <c r="L862" s="2" t="s">
        <v>5019</v>
      </c>
      <c r="M862" s="2" t="s">
        <v>5020</v>
      </c>
    </row>
    <row r="863" customFormat="false" ht="15" hidden="false" customHeight="false" outlineLevel="0" collapsed="false">
      <c r="A863" s="2" t="s">
        <v>5021</v>
      </c>
      <c r="B863" s="3" t="s">
        <v>5022</v>
      </c>
      <c r="C863" s="2" t="s">
        <v>5023</v>
      </c>
      <c r="D863" s="2" t="s">
        <v>43</v>
      </c>
      <c r="E863" s="2" t="s">
        <v>208</v>
      </c>
      <c r="F863" s="2" t="s">
        <v>5024</v>
      </c>
      <c r="G863" s="2" t="s">
        <v>5025</v>
      </c>
      <c r="H863" s="2" t="s">
        <v>19</v>
      </c>
      <c r="I863" s="2" t="s">
        <v>29</v>
      </c>
      <c r="J863" s="2" t="s">
        <v>71</v>
      </c>
      <c r="K863" s="2" t="s">
        <v>22</v>
      </c>
      <c r="L863" s="2" t="s">
        <v>5026</v>
      </c>
      <c r="M863" s="2"/>
    </row>
    <row r="864" customFormat="false" ht="23.85" hidden="false" customHeight="false" outlineLevel="0" collapsed="false">
      <c r="A864" s="2" t="s">
        <v>5027</v>
      </c>
      <c r="B864" s="3" t="s">
        <v>5028</v>
      </c>
      <c r="C864" s="2"/>
      <c r="D864" s="2" t="s">
        <v>82</v>
      </c>
      <c r="E864" s="2" t="s">
        <v>312</v>
      </c>
      <c r="F864" s="2" t="s">
        <v>5029</v>
      </c>
      <c r="G864" s="2" t="s">
        <v>5030</v>
      </c>
      <c r="H864" s="2" t="s">
        <v>47</v>
      </c>
      <c r="I864" s="2" t="s">
        <v>63</v>
      </c>
      <c r="J864" s="2" t="s">
        <v>21</v>
      </c>
      <c r="K864" s="2" t="s">
        <v>22</v>
      </c>
      <c r="L864" s="2" t="s">
        <v>5031</v>
      </c>
      <c r="M864" s="2"/>
    </row>
    <row r="865" customFormat="false" ht="15" hidden="false" customHeight="false" outlineLevel="0" collapsed="false">
      <c r="A865" s="2" t="s">
        <v>5032</v>
      </c>
      <c r="B865" s="3" t="s">
        <v>5033</v>
      </c>
      <c r="C865" s="2" t="s">
        <v>5034</v>
      </c>
      <c r="D865" s="2" t="s">
        <v>82</v>
      </c>
      <c r="E865" s="2" t="s">
        <v>312</v>
      </c>
      <c r="F865" s="2" t="s">
        <v>5035</v>
      </c>
      <c r="G865" s="2" t="s">
        <v>5036</v>
      </c>
      <c r="H865" s="2" t="s">
        <v>47</v>
      </c>
      <c r="I865" s="2" t="s">
        <v>63</v>
      </c>
      <c r="J865" s="2" t="s">
        <v>21</v>
      </c>
      <c r="K865" s="2" t="s">
        <v>22</v>
      </c>
      <c r="L865" s="2" t="s">
        <v>5037</v>
      </c>
      <c r="M865" s="2"/>
    </row>
    <row r="866" customFormat="false" ht="23.85" hidden="false" customHeight="false" outlineLevel="0" collapsed="false">
      <c r="A866" s="2" t="s">
        <v>5038</v>
      </c>
      <c r="B866" s="3" t="s">
        <v>5039</v>
      </c>
      <c r="C866" s="2" t="s">
        <v>5040</v>
      </c>
      <c r="D866" s="2" t="s">
        <v>82</v>
      </c>
      <c r="E866" s="2" t="s">
        <v>312</v>
      </c>
      <c r="F866" s="2" t="s">
        <v>5041</v>
      </c>
      <c r="G866" s="2" t="s">
        <v>5042</v>
      </c>
      <c r="H866" s="2" t="s">
        <v>47</v>
      </c>
      <c r="I866" s="2" t="s">
        <v>63</v>
      </c>
      <c r="J866" s="2" t="s">
        <v>21</v>
      </c>
      <c r="K866" s="2" t="s">
        <v>22</v>
      </c>
      <c r="L866" s="2" t="s">
        <v>5043</v>
      </c>
      <c r="M866" s="2"/>
    </row>
    <row r="867" customFormat="false" ht="23.85" hidden="false" customHeight="false" outlineLevel="0" collapsed="false">
      <c r="A867" s="2" t="s">
        <v>5044</v>
      </c>
      <c r="B867" s="3" t="s">
        <v>5045</v>
      </c>
      <c r="C867" s="2"/>
      <c r="D867" s="2" t="s">
        <v>34</v>
      </c>
      <c r="E867" s="2" t="s">
        <v>116</v>
      </c>
      <c r="F867" s="2" t="s">
        <v>5046</v>
      </c>
      <c r="G867" s="2" t="s">
        <v>5047</v>
      </c>
      <c r="H867" s="2" t="s">
        <v>19</v>
      </c>
      <c r="I867" s="2" t="s">
        <v>20</v>
      </c>
      <c r="J867" s="2" t="s">
        <v>71</v>
      </c>
      <c r="K867" s="2" t="s">
        <v>72</v>
      </c>
      <c r="L867" s="2" t="s">
        <v>5048</v>
      </c>
      <c r="M867" s="2"/>
    </row>
    <row r="868" customFormat="false" ht="23.85" hidden="false" customHeight="false" outlineLevel="0" collapsed="false">
      <c r="A868" s="2" t="s">
        <v>5049</v>
      </c>
      <c r="B868" s="3" t="s">
        <v>5050</v>
      </c>
      <c r="C868" s="2" t="s">
        <v>5051</v>
      </c>
      <c r="D868" s="2" t="s">
        <v>251</v>
      </c>
      <c r="E868" s="2" t="s">
        <v>5052</v>
      </c>
      <c r="F868" s="2" t="s">
        <v>5053</v>
      </c>
      <c r="G868" s="2" t="s">
        <v>5054</v>
      </c>
      <c r="H868" s="2" t="s">
        <v>255</v>
      </c>
      <c r="I868" s="2" t="s">
        <v>29</v>
      </c>
      <c r="J868" s="2" t="s">
        <v>21</v>
      </c>
      <c r="K868" s="2" t="s">
        <v>22</v>
      </c>
      <c r="L868" s="2" t="s">
        <v>5055</v>
      </c>
      <c r="M868" s="2"/>
    </row>
    <row r="869" customFormat="false" ht="15" hidden="false" customHeight="false" outlineLevel="0" collapsed="false">
      <c r="A869" s="2" t="s">
        <v>5056</v>
      </c>
      <c r="B869" s="3" t="s">
        <v>5057</v>
      </c>
      <c r="C869" s="2" t="s">
        <v>5058</v>
      </c>
      <c r="D869" s="2" t="s">
        <v>82</v>
      </c>
      <c r="E869" s="2" t="s">
        <v>1495</v>
      </c>
      <c r="F869" s="2" t="s">
        <v>5059</v>
      </c>
      <c r="G869" s="2" t="s">
        <v>5060</v>
      </c>
      <c r="H869" s="2" t="s">
        <v>47</v>
      </c>
      <c r="I869" s="2" t="s">
        <v>48</v>
      </c>
      <c r="J869" s="2" t="s">
        <v>71</v>
      </c>
      <c r="K869" s="2" t="s">
        <v>72</v>
      </c>
      <c r="L869" s="2" t="s">
        <v>5061</v>
      </c>
      <c r="M869" s="2"/>
    </row>
    <row r="870" customFormat="false" ht="23.85" hidden="false" customHeight="false" outlineLevel="0" collapsed="false">
      <c r="A870" s="2" t="s">
        <v>5062</v>
      </c>
      <c r="B870" s="3" t="s">
        <v>5063</v>
      </c>
      <c r="C870" s="2"/>
      <c r="D870" s="2" t="s">
        <v>106</v>
      </c>
      <c r="E870" s="2" t="s">
        <v>1535</v>
      </c>
      <c r="F870" s="2" t="s">
        <v>5064</v>
      </c>
      <c r="G870" s="2" t="s">
        <v>5065</v>
      </c>
      <c r="H870" s="2" t="s">
        <v>110</v>
      </c>
      <c r="I870" s="2" t="s">
        <v>48</v>
      </c>
      <c r="J870" s="2" t="s">
        <v>21</v>
      </c>
      <c r="K870" s="2" t="s">
        <v>72</v>
      </c>
      <c r="L870" s="2" t="s">
        <v>5066</v>
      </c>
      <c r="M870" s="2"/>
    </row>
    <row r="871" customFormat="false" ht="23.85" hidden="false" customHeight="false" outlineLevel="0" collapsed="false">
      <c r="A871" s="2" t="s">
        <v>5067</v>
      </c>
      <c r="B871" s="3" t="s">
        <v>5068</v>
      </c>
      <c r="C871" s="2"/>
      <c r="D871" s="2" t="s">
        <v>179</v>
      </c>
      <c r="E871" s="2" t="s">
        <v>5069</v>
      </c>
      <c r="F871" s="2" t="s">
        <v>5070</v>
      </c>
      <c r="G871" s="2" t="s">
        <v>5071</v>
      </c>
      <c r="H871" s="2"/>
      <c r="I871" s="2" t="s">
        <v>94</v>
      </c>
      <c r="J871" s="2" t="s">
        <v>86</v>
      </c>
      <c r="K871" s="2" t="s">
        <v>22</v>
      </c>
      <c r="L871" s="2" t="s">
        <v>5072</v>
      </c>
      <c r="M871" s="2"/>
    </row>
    <row r="872" customFormat="false" ht="23.85" hidden="false" customHeight="false" outlineLevel="0" collapsed="false">
      <c r="A872" s="2" t="s">
        <v>5073</v>
      </c>
      <c r="B872" s="3" t="s">
        <v>5074</v>
      </c>
      <c r="C872" s="2" t="s">
        <v>5075</v>
      </c>
      <c r="D872" s="2" t="s">
        <v>15</v>
      </c>
      <c r="E872" s="2" t="s">
        <v>5069</v>
      </c>
      <c r="F872" s="2" t="s">
        <v>5076</v>
      </c>
      <c r="G872" s="2" t="s">
        <v>5077</v>
      </c>
      <c r="H872" s="2"/>
      <c r="I872" s="2" t="s">
        <v>94</v>
      </c>
      <c r="J872" s="2" t="s">
        <v>71</v>
      </c>
      <c r="K872" s="2" t="s">
        <v>22</v>
      </c>
      <c r="L872" s="2" t="s">
        <v>1705</v>
      </c>
      <c r="M872" s="2"/>
    </row>
    <row r="873" customFormat="false" ht="15" hidden="false" customHeight="false" outlineLevel="0" collapsed="false">
      <c r="A873" s="2" t="s">
        <v>5078</v>
      </c>
      <c r="B873" s="3" t="s">
        <v>5079</v>
      </c>
      <c r="C873" s="2" t="s">
        <v>5080</v>
      </c>
      <c r="D873" s="2" t="s">
        <v>59</v>
      </c>
      <c r="E873" s="2" t="s">
        <v>53</v>
      </c>
      <c r="F873" s="2" t="s">
        <v>5081</v>
      </c>
      <c r="G873" s="2" t="s">
        <v>5082</v>
      </c>
      <c r="H873" s="2" t="s">
        <v>543</v>
      </c>
      <c r="I873" s="2" t="s">
        <v>63</v>
      </c>
      <c r="J873" s="2" t="s">
        <v>71</v>
      </c>
      <c r="K873" s="2" t="s">
        <v>22</v>
      </c>
      <c r="L873" s="2" t="s">
        <v>5083</v>
      </c>
      <c r="M873" s="2"/>
    </row>
    <row r="874" customFormat="false" ht="15" hidden="false" customHeight="false" outlineLevel="0" collapsed="false">
      <c r="A874" s="2" t="s">
        <v>5084</v>
      </c>
      <c r="B874" s="3" t="s">
        <v>5085</v>
      </c>
      <c r="C874" s="2"/>
      <c r="D874" s="2" t="s">
        <v>34</v>
      </c>
      <c r="E874" s="2" t="s">
        <v>53</v>
      </c>
      <c r="F874" s="2" t="s">
        <v>5086</v>
      </c>
      <c r="G874" s="2" t="s">
        <v>5087</v>
      </c>
      <c r="H874" s="2"/>
      <c r="I874" s="2" t="s">
        <v>48</v>
      </c>
      <c r="J874" s="2" t="s">
        <v>71</v>
      </c>
      <c r="K874" s="2" t="s">
        <v>72</v>
      </c>
      <c r="L874" s="2" t="s">
        <v>5088</v>
      </c>
      <c r="M874" s="2"/>
    </row>
    <row r="875" customFormat="false" ht="15" hidden="false" customHeight="false" outlineLevel="0" collapsed="false">
      <c r="A875" s="2" t="s">
        <v>5089</v>
      </c>
      <c r="B875" s="3" t="s">
        <v>5090</v>
      </c>
      <c r="C875" s="2"/>
      <c r="D875" s="2" t="s">
        <v>106</v>
      </c>
      <c r="E875" s="2" t="s">
        <v>53</v>
      </c>
      <c r="F875" s="2" t="s">
        <v>5091</v>
      </c>
      <c r="G875" s="2" t="s">
        <v>5092</v>
      </c>
      <c r="H875" s="2" t="s">
        <v>110</v>
      </c>
      <c r="I875" s="2" t="s">
        <v>48</v>
      </c>
      <c r="J875" s="2" t="s">
        <v>71</v>
      </c>
      <c r="K875" s="2" t="s">
        <v>72</v>
      </c>
      <c r="L875" s="2" t="s">
        <v>5093</v>
      </c>
      <c r="M875" s="2"/>
    </row>
    <row r="876" customFormat="false" ht="15" hidden="false" customHeight="false" outlineLevel="0" collapsed="false">
      <c r="A876" s="2" t="s">
        <v>5094</v>
      </c>
      <c r="B876" s="3" t="s">
        <v>5095</v>
      </c>
      <c r="C876" s="2"/>
      <c r="D876" s="2" t="s">
        <v>15</v>
      </c>
      <c r="E876" s="2" t="s">
        <v>574</v>
      </c>
      <c r="F876" s="2" t="s">
        <v>5096</v>
      </c>
      <c r="G876" s="2" t="s">
        <v>5097</v>
      </c>
      <c r="H876" s="2" t="s">
        <v>47</v>
      </c>
      <c r="I876" s="2" t="s">
        <v>63</v>
      </c>
      <c r="J876" s="2" t="s">
        <v>21</v>
      </c>
      <c r="K876" s="2" t="s">
        <v>22</v>
      </c>
      <c r="L876" s="2" t="s">
        <v>354</v>
      </c>
      <c r="M876" s="2"/>
    </row>
    <row r="877" customFormat="false" ht="15" hidden="false" customHeight="false" outlineLevel="0" collapsed="false">
      <c r="A877" s="2" t="s">
        <v>5098</v>
      </c>
      <c r="B877" s="3" t="s">
        <v>5099</v>
      </c>
      <c r="C877" s="2" t="s">
        <v>5100</v>
      </c>
      <c r="D877" s="2" t="s">
        <v>52</v>
      </c>
      <c r="E877" s="2" t="s">
        <v>691</v>
      </c>
      <c r="F877" s="2" t="s">
        <v>5101</v>
      </c>
      <c r="G877" s="2" t="s">
        <v>5102</v>
      </c>
      <c r="H877" s="2" t="s">
        <v>452</v>
      </c>
      <c r="I877" s="2" t="s">
        <v>63</v>
      </c>
      <c r="J877" s="2" t="s">
        <v>71</v>
      </c>
      <c r="K877" s="2" t="s">
        <v>22</v>
      </c>
      <c r="L877" s="2" t="s">
        <v>5103</v>
      </c>
      <c r="M877" s="2"/>
    </row>
    <row r="878" customFormat="false" ht="23.85" hidden="false" customHeight="false" outlineLevel="0" collapsed="false">
      <c r="A878" s="2" t="s">
        <v>4491</v>
      </c>
      <c r="B878" s="3" t="s">
        <v>5104</v>
      </c>
      <c r="C878" s="2" t="s">
        <v>5105</v>
      </c>
      <c r="D878" s="2" t="s">
        <v>223</v>
      </c>
      <c r="E878" s="2" t="s">
        <v>99</v>
      </c>
      <c r="F878" s="2" t="s">
        <v>5106</v>
      </c>
      <c r="G878" s="2" t="s">
        <v>5107</v>
      </c>
      <c r="H878" s="2"/>
      <c r="I878" s="2" t="s">
        <v>119</v>
      </c>
      <c r="J878" s="2" t="s">
        <v>71</v>
      </c>
      <c r="K878" s="2" t="s">
        <v>72</v>
      </c>
      <c r="L878" s="2" t="s">
        <v>5108</v>
      </c>
      <c r="M878" s="2"/>
    </row>
    <row r="879" customFormat="false" ht="15" hidden="false" customHeight="false" outlineLevel="0" collapsed="false">
      <c r="A879" s="2" t="s">
        <v>5109</v>
      </c>
      <c r="B879" s="3" t="s">
        <v>5110</v>
      </c>
      <c r="C879" s="2" t="s">
        <v>5111</v>
      </c>
      <c r="D879" s="2" t="s">
        <v>82</v>
      </c>
      <c r="E879" s="2" t="s">
        <v>266</v>
      </c>
      <c r="F879" s="2" t="s">
        <v>5112</v>
      </c>
      <c r="G879" s="2" t="s">
        <v>5113</v>
      </c>
      <c r="H879" s="2" t="s">
        <v>47</v>
      </c>
      <c r="I879" s="2" t="s">
        <v>48</v>
      </c>
      <c r="J879" s="2" t="s">
        <v>71</v>
      </c>
      <c r="K879" s="2" t="s">
        <v>72</v>
      </c>
      <c r="L879" s="2" t="s">
        <v>5114</v>
      </c>
      <c r="M879" s="2"/>
    </row>
    <row r="880" customFormat="false" ht="23.85" hidden="false" customHeight="false" outlineLevel="0" collapsed="false">
      <c r="A880" s="2" t="s">
        <v>5115</v>
      </c>
      <c r="B880" s="3" t="s">
        <v>5116</v>
      </c>
      <c r="C880" s="2" t="s">
        <v>5117</v>
      </c>
      <c r="D880" s="2" t="s">
        <v>59</v>
      </c>
      <c r="E880" s="2" t="s">
        <v>53</v>
      </c>
      <c r="F880" s="2" t="s">
        <v>5118</v>
      </c>
      <c r="G880" s="2" t="s">
        <v>5119</v>
      </c>
      <c r="H880" s="2" t="s">
        <v>543</v>
      </c>
      <c r="I880" s="2" t="s">
        <v>78</v>
      </c>
      <c r="J880" s="2" t="s">
        <v>71</v>
      </c>
      <c r="K880" s="2" t="s">
        <v>72</v>
      </c>
      <c r="L880" s="2" t="s">
        <v>5120</v>
      </c>
      <c r="M880" s="2" t="s">
        <v>5121</v>
      </c>
    </row>
    <row r="881" customFormat="false" ht="15" hidden="false" customHeight="false" outlineLevel="0" collapsed="false">
      <c r="A881" s="2" t="s">
        <v>5122</v>
      </c>
      <c r="B881" s="3" t="s">
        <v>5123</v>
      </c>
      <c r="C881" s="2"/>
      <c r="D881" s="2" t="s">
        <v>179</v>
      </c>
      <c r="E881" s="2" t="s">
        <v>796</v>
      </c>
      <c r="F881" s="2" t="s">
        <v>5124</v>
      </c>
      <c r="G881" s="2" t="s">
        <v>5125</v>
      </c>
      <c r="H881" s="2"/>
      <c r="I881" s="2" t="s">
        <v>48</v>
      </c>
      <c r="J881" s="2" t="s">
        <v>71</v>
      </c>
      <c r="K881" s="2" t="s">
        <v>72</v>
      </c>
      <c r="L881" s="2" t="s">
        <v>5126</v>
      </c>
      <c r="M881" s="2"/>
    </row>
    <row r="882" customFormat="false" ht="15" hidden="false" customHeight="false" outlineLevel="0" collapsed="false">
      <c r="A882" s="2" t="s">
        <v>5127</v>
      </c>
      <c r="B882" s="3" t="s">
        <v>5128</v>
      </c>
      <c r="C882" s="2"/>
      <c r="D882" s="2" t="s">
        <v>15</v>
      </c>
      <c r="E882" s="2" t="s">
        <v>99</v>
      </c>
      <c r="F882" s="2" t="s">
        <v>5129</v>
      </c>
      <c r="G882" s="2" t="s">
        <v>5130</v>
      </c>
      <c r="H882" s="2" t="s">
        <v>47</v>
      </c>
      <c r="I882" s="2" t="s">
        <v>48</v>
      </c>
      <c r="J882" s="2" t="s">
        <v>21</v>
      </c>
      <c r="K882" s="2" t="s">
        <v>22</v>
      </c>
      <c r="L882" s="2" t="s">
        <v>5131</v>
      </c>
      <c r="M882" s="2"/>
    </row>
    <row r="883" customFormat="false" ht="23.85" hidden="false" customHeight="false" outlineLevel="0" collapsed="false">
      <c r="A883" s="2" t="s">
        <v>5132</v>
      </c>
      <c r="B883" s="3" t="s">
        <v>5133</v>
      </c>
      <c r="C883" s="2"/>
      <c r="D883" s="2" t="s">
        <v>179</v>
      </c>
      <c r="E883" s="2" t="s">
        <v>53</v>
      </c>
      <c r="F883" s="2" t="s">
        <v>5134</v>
      </c>
      <c r="G883" s="2" t="s">
        <v>5135</v>
      </c>
      <c r="H883" s="2"/>
      <c r="I883" s="2" t="s">
        <v>48</v>
      </c>
      <c r="J883" s="2" t="s">
        <v>71</v>
      </c>
      <c r="K883" s="2" t="s">
        <v>22</v>
      </c>
      <c r="L883" s="2" t="s">
        <v>5136</v>
      </c>
      <c r="M883" s="2"/>
    </row>
    <row r="884" customFormat="false" ht="23.85" hidden="false" customHeight="false" outlineLevel="0" collapsed="false">
      <c r="A884" s="2" t="s">
        <v>5137</v>
      </c>
      <c r="B884" s="3" t="s">
        <v>5138</v>
      </c>
      <c r="C884" s="2" t="s">
        <v>5139</v>
      </c>
      <c r="D884" s="2" t="s">
        <v>82</v>
      </c>
      <c r="E884" s="2" t="s">
        <v>91</v>
      </c>
      <c r="F884" s="2" t="s">
        <v>5140</v>
      </c>
      <c r="G884" s="2" t="s">
        <v>5141</v>
      </c>
      <c r="H884" s="2" t="s">
        <v>675</v>
      </c>
      <c r="I884" s="2" t="s">
        <v>138</v>
      </c>
      <c r="J884" s="2" t="s">
        <v>71</v>
      </c>
      <c r="K884" s="2" t="s">
        <v>72</v>
      </c>
      <c r="L884" s="2" t="s">
        <v>5142</v>
      </c>
      <c r="M884" s="2" t="s">
        <v>5143</v>
      </c>
    </row>
    <row r="885" customFormat="false" ht="15" hidden="false" customHeight="false" outlineLevel="0" collapsed="false">
      <c r="A885" s="2" t="s">
        <v>5144</v>
      </c>
      <c r="B885" s="3" t="s">
        <v>5145</v>
      </c>
      <c r="C885" s="2"/>
      <c r="D885" s="2" t="s">
        <v>82</v>
      </c>
      <c r="E885" s="2" t="s">
        <v>266</v>
      </c>
      <c r="F885" s="2" t="s">
        <v>5146</v>
      </c>
      <c r="G885" s="2" t="s">
        <v>5147</v>
      </c>
      <c r="H885" s="2" t="s">
        <v>47</v>
      </c>
      <c r="I885" s="2" t="s">
        <v>63</v>
      </c>
      <c r="J885" s="2" t="s">
        <v>71</v>
      </c>
      <c r="K885" s="2" t="s">
        <v>22</v>
      </c>
      <c r="L885" s="2" t="s">
        <v>1933</v>
      </c>
      <c r="M885" s="2"/>
    </row>
    <row r="886" customFormat="false" ht="23.85" hidden="false" customHeight="false" outlineLevel="0" collapsed="false">
      <c r="A886" s="2" t="s">
        <v>5148</v>
      </c>
      <c r="B886" s="3" t="s">
        <v>5149</v>
      </c>
      <c r="C886" s="2" t="s">
        <v>5150</v>
      </c>
      <c r="D886" s="2" t="s">
        <v>238</v>
      </c>
      <c r="E886" s="2" t="s">
        <v>91</v>
      </c>
      <c r="F886" s="2" t="s">
        <v>5151</v>
      </c>
      <c r="G886" s="2" t="s">
        <v>5152</v>
      </c>
      <c r="H886" s="2" t="s">
        <v>241</v>
      </c>
      <c r="I886" s="2" t="s">
        <v>508</v>
      </c>
      <c r="J886" s="2" t="s">
        <v>71</v>
      </c>
      <c r="K886" s="2" t="s">
        <v>72</v>
      </c>
      <c r="L886" s="2" t="s">
        <v>2250</v>
      </c>
      <c r="M886" s="2" t="s">
        <v>5153</v>
      </c>
    </row>
    <row r="887" customFormat="false" ht="15" hidden="false" customHeight="false" outlineLevel="0" collapsed="false">
      <c r="A887" s="2" t="s">
        <v>5154</v>
      </c>
      <c r="B887" s="3" t="s">
        <v>5155</v>
      </c>
      <c r="C887" s="2"/>
      <c r="D887" s="2" t="s">
        <v>59</v>
      </c>
      <c r="E887" s="2" t="s">
        <v>53</v>
      </c>
      <c r="F887" s="2" t="s">
        <v>5156</v>
      </c>
      <c r="G887" s="2" t="s">
        <v>5157</v>
      </c>
      <c r="H887" s="2" t="s">
        <v>543</v>
      </c>
      <c r="I887" s="2" t="s">
        <v>29</v>
      </c>
      <c r="J887" s="2" t="s">
        <v>86</v>
      </c>
      <c r="K887" s="2" t="s">
        <v>72</v>
      </c>
      <c r="L887" s="2" t="s">
        <v>5158</v>
      </c>
      <c r="M887" s="2"/>
    </row>
    <row r="888" customFormat="false" ht="23.85" hidden="false" customHeight="false" outlineLevel="0" collapsed="false">
      <c r="A888" s="2" t="s">
        <v>5159</v>
      </c>
      <c r="B888" s="3" t="s">
        <v>5160</v>
      </c>
      <c r="C888" s="2" t="s">
        <v>5161</v>
      </c>
      <c r="D888" s="2" t="s">
        <v>251</v>
      </c>
      <c r="E888" s="2" t="s">
        <v>5162</v>
      </c>
      <c r="F888" s="2" t="s">
        <v>5163</v>
      </c>
      <c r="G888" s="2" t="s">
        <v>5164</v>
      </c>
      <c r="H888" s="2" t="s">
        <v>255</v>
      </c>
      <c r="I888" s="2" t="s">
        <v>256</v>
      </c>
      <c r="J888" s="2" t="s">
        <v>21</v>
      </c>
      <c r="K888" s="2" t="s">
        <v>22</v>
      </c>
      <c r="L888" s="2" t="s">
        <v>2198</v>
      </c>
      <c r="M888" s="2"/>
    </row>
    <row r="889" customFormat="false" ht="23.85" hidden="false" customHeight="false" outlineLevel="0" collapsed="false">
      <c r="A889" s="2" t="s">
        <v>2905</v>
      </c>
      <c r="B889" s="3" t="s">
        <v>5165</v>
      </c>
      <c r="C889" s="2" t="s">
        <v>5166</v>
      </c>
      <c r="D889" s="2" t="s">
        <v>238</v>
      </c>
      <c r="E889" s="2" t="s">
        <v>53</v>
      </c>
      <c r="F889" s="2" t="s">
        <v>5167</v>
      </c>
      <c r="G889" s="2" t="s">
        <v>5168</v>
      </c>
      <c r="H889" s="2" t="s">
        <v>241</v>
      </c>
      <c r="I889" s="2" t="s">
        <v>182</v>
      </c>
      <c r="J889" s="2" t="s">
        <v>86</v>
      </c>
      <c r="K889" s="2" t="s">
        <v>87</v>
      </c>
      <c r="L889" s="2" t="s">
        <v>5169</v>
      </c>
      <c r="M889" s="2" t="s">
        <v>5170</v>
      </c>
    </row>
    <row r="890" customFormat="false" ht="15" hidden="false" customHeight="false" outlineLevel="0" collapsed="false">
      <c r="A890" s="2" t="s">
        <v>5171</v>
      </c>
      <c r="B890" s="3" t="s">
        <v>5172</v>
      </c>
      <c r="C890" s="2"/>
      <c r="D890" s="2" t="s">
        <v>82</v>
      </c>
      <c r="E890" s="2" t="s">
        <v>35</v>
      </c>
      <c r="F890" s="2" t="s">
        <v>5173</v>
      </c>
      <c r="G890" s="2" t="s">
        <v>5174</v>
      </c>
      <c r="H890" s="2" t="s">
        <v>329</v>
      </c>
      <c r="I890" s="2" t="s">
        <v>85</v>
      </c>
      <c r="J890" s="2" t="s">
        <v>71</v>
      </c>
      <c r="K890" s="2" t="s">
        <v>72</v>
      </c>
      <c r="L890" s="2" t="s">
        <v>5175</v>
      </c>
      <c r="M890" s="2"/>
    </row>
    <row r="891" customFormat="false" ht="15" hidden="false" customHeight="false" outlineLevel="0" collapsed="false">
      <c r="A891" s="2" t="s">
        <v>5176</v>
      </c>
      <c r="B891" s="3" t="s">
        <v>5177</v>
      </c>
      <c r="C891" s="2"/>
      <c r="D891" s="2" t="s">
        <v>238</v>
      </c>
      <c r="E891" s="2" t="s">
        <v>53</v>
      </c>
      <c r="F891" s="2" t="s">
        <v>5178</v>
      </c>
      <c r="G891" s="2" t="s">
        <v>5179</v>
      </c>
      <c r="H891" s="2" t="s">
        <v>241</v>
      </c>
      <c r="I891" s="2" t="s">
        <v>151</v>
      </c>
      <c r="J891" s="2" t="s">
        <v>21</v>
      </c>
      <c r="K891" s="2" t="s">
        <v>22</v>
      </c>
      <c r="L891" s="2" t="s">
        <v>1544</v>
      </c>
      <c r="M891" s="2"/>
    </row>
    <row r="892" customFormat="false" ht="23.85" hidden="false" customHeight="false" outlineLevel="0" collapsed="false">
      <c r="A892" s="2" t="s">
        <v>1544</v>
      </c>
      <c r="B892" s="3" t="s">
        <v>5180</v>
      </c>
      <c r="C892" s="2" t="s">
        <v>5181</v>
      </c>
      <c r="D892" s="2" t="s">
        <v>238</v>
      </c>
      <c r="E892" s="2" t="s">
        <v>53</v>
      </c>
      <c r="F892" s="2" t="s">
        <v>5182</v>
      </c>
      <c r="G892" s="2" t="s">
        <v>5183</v>
      </c>
      <c r="H892" s="2" t="s">
        <v>241</v>
      </c>
      <c r="I892" s="2" t="s">
        <v>111</v>
      </c>
      <c r="J892" s="2" t="s">
        <v>21</v>
      </c>
      <c r="K892" s="2" t="s">
        <v>22</v>
      </c>
      <c r="L892" s="2" t="s">
        <v>5184</v>
      </c>
      <c r="M892" s="2"/>
    </row>
    <row r="893" customFormat="false" ht="23.85" hidden="false" customHeight="false" outlineLevel="0" collapsed="false">
      <c r="A893" s="2" t="s">
        <v>5185</v>
      </c>
      <c r="B893" s="3" t="s">
        <v>5186</v>
      </c>
      <c r="C893" s="2" t="s">
        <v>5187</v>
      </c>
      <c r="D893" s="2" t="s">
        <v>106</v>
      </c>
      <c r="E893" s="2" t="s">
        <v>53</v>
      </c>
      <c r="F893" s="2" t="s">
        <v>5188</v>
      </c>
      <c r="G893" s="2" t="s">
        <v>5189</v>
      </c>
      <c r="H893" s="2" t="s">
        <v>410</v>
      </c>
      <c r="I893" s="2" t="s">
        <v>78</v>
      </c>
      <c r="J893" s="2" t="s">
        <v>21</v>
      </c>
      <c r="K893" s="2" t="s">
        <v>72</v>
      </c>
      <c r="L893" s="2" t="s">
        <v>5190</v>
      </c>
      <c r="M893" s="2"/>
    </row>
    <row r="894" customFormat="false" ht="23.85" hidden="false" customHeight="false" outlineLevel="0" collapsed="false">
      <c r="A894" s="2" t="s">
        <v>5191</v>
      </c>
      <c r="B894" s="3" t="s">
        <v>5192</v>
      </c>
      <c r="C894" s="2"/>
      <c r="D894" s="2" t="s">
        <v>179</v>
      </c>
      <c r="E894" s="2" t="s">
        <v>53</v>
      </c>
      <c r="F894" s="2" t="s">
        <v>5193</v>
      </c>
      <c r="G894" s="2" t="s">
        <v>5194</v>
      </c>
      <c r="H894" s="2"/>
      <c r="I894" s="2" t="s">
        <v>20</v>
      </c>
      <c r="J894" s="2" t="s">
        <v>71</v>
      </c>
      <c r="K894" s="2" t="s">
        <v>22</v>
      </c>
      <c r="L894" s="2" t="s">
        <v>2403</v>
      </c>
      <c r="M894" s="2"/>
    </row>
    <row r="895" customFormat="false" ht="23.85" hidden="false" customHeight="false" outlineLevel="0" collapsed="false">
      <c r="A895" s="2" t="s">
        <v>5195</v>
      </c>
      <c r="B895" s="3" t="s">
        <v>5196</v>
      </c>
      <c r="C895" s="2" t="s">
        <v>5197</v>
      </c>
      <c r="D895" s="2" t="s">
        <v>15</v>
      </c>
      <c r="E895" s="2" t="s">
        <v>16</v>
      </c>
      <c r="F895" s="2" t="s">
        <v>5198</v>
      </c>
      <c r="G895" s="2" t="s">
        <v>5199</v>
      </c>
      <c r="H895" s="2"/>
      <c r="I895" s="2" t="s">
        <v>48</v>
      </c>
      <c r="J895" s="2" t="s">
        <v>21</v>
      </c>
      <c r="K895" s="2" t="s">
        <v>22</v>
      </c>
      <c r="L895" s="2" t="s">
        <v>5200</v>
      </c>
      <c r="M895" s="2" t="s">
        <v>5201</v>
      </c>
    </row>
    <row r="896" customFormat="false" ht="15" hidden="false" customHeight="false" outlineLevel="0" collapsed="false">
      <c r="A896" s="2" t="s">
        <v>5202</v>
      </c>
      <c r="B896" s="3" t="s">
        <v>5203</v>
      </c>
      <c r="C896" s="2" t="s">
        <v>5204</v>
      </c>
      <c r="D896" s="2" t="s">
        <v>15</v>
      </c>
      <c r="E896" s="2" t="s">
        <v>99</v>
      </c>
      <c r="F896" s="2" t="s">
        <v>5205</v>
      </c>
      <c r="G896" s="2" t="s">
        <v>5206</v>
      </c>
      <c r="H896" s="2" t="s">
        <v>47</v>
      </c>
      <c r="I896" s="2" t="s">
        <v>48</v>
      </c>
      <c r="J896" s="2" t="s">
        <v>21</v>
      </c>
      <c r="K896" s="2" t="s">
        <v>72</v>
      </c>
      <c r="L896" s="2" t="s">
        <v>5207</v>
      </c>
      <c r="M896" s="2"/>
    </row>
    <row r="897" customFormat="false" ht="15" hidden="false" customHeight="false" outlineLevel="0" collapsed="false">
      <c r="A897" s="2" t="s">
        <v>5208</v>
      </c>
      <c r="B897" s="3" t="s">
        <v>5209</v>
      </c>
      <c r="C897" s="2" t="s">
        <v>5210</v>
      </c>
      <c r="D897" s="2" t="s">
        <v>43</v>
      </c>
      <c r="E897" s="2" t="s">
        <v>53</v>
      </c>
      <c r="F897" s="2" t="s">
        <v>5211</v>
      </c>
      <c r="G897" s="2" t="s">
        <v>5212</v>
      </c>
      <c r="H897" s="2" t="s">
        <v>28</v>
      </c>
      <c r="I897" s="2" t="s">
        <v>111</v>
      </c>
      <c r="J897" s="2" t="s">
        <v>71</v>
      </c>
      <c r="K897" s="2" t="s">
        <v>72</v>
      </c>
      <c r="L897" s="2" t="s">
        <v>5213</v>
      </c>
      <c r="M897" s="2"/>
    </row>
    <row r="898" customFormat="false" ht="23.85" hidden="false" customHeight="false" outlineLevel="0" collapsed="false">
      <c r="A898" s="2" t="s">
        <v>5214</v>
      </c>
      <c r="B898" s="3" t="s">
        <v>5215</v>
      </c>
      <c r="C898" s="2"/>
      <c r="D898" s="2" t="s">
        <v>52</v>
      </c>
      <c r="E898" s="2" t="s">
        <v>535</v>
      </c>
      <c r="F898" s="2" t="s">
        <v>5216</v>
      </c>
      <c r="G898" s="2" t="s">
        <v>5217</v>
      </c>
      <c r="H898" s="2" t="s">
        <v>452</v>
      </c>
      <c r="I898" s="2" t="s">
        <v>63</v>
      </c>
      <c r="J898" s="2" t="s">
        <v>21</v>
      </c>
      <c r="K898" s="2" t="s">
        <v>22</v>
      </c>
      <c r="L898" s="2" t="s">
        <v>5218</v>
      </c>
      <c r="M898" s="2"/>
    </row>
    <row r="899" customFormat="false" ht="15" hidden="false" customHeight="false" outlineLevel="0" collapsed="false">
      <c r="A899" s="2" t="s">
        <v>5219</v>
      </c>
      <c r="B899" s="3" t="s">
        <v>5220</v>
      </c>
      <c r="C899" s="2"/>
      <c r="D899" s="2" t="s">
        <v>15</v>
      </c>
      <c r="E899" s="2" t="s">
        <v>16</v>
      </c>
      <c r="F899" s="2" t="s">
        <v>5221</v>
      </c>
      <c r="G899" s="2" t="s">
        <v>5222</v>
      </c>
      <c r="H899" s="2" t="s">
        <v>47</v>
      </c>
      <c r="I899" s="2" t="s">
        <v>138</v>
      </c>
      <c r="J899" s="2" t="s">
        <v>71</v>
      </c>
      <c r="K899" s="2" t="s">
        <v>22</v>
      </c>
      <c r="L899" s="2" t="s">
        <v>5223</v>
      </c>
      <c r="M899" s="2"/>
    </row>
    <row r="900" customFormat="false" ht="23.85" hidden="false" customHeight="false" outlineLevel="0" collapsed="false">
      <c r="A900" s="2" t="s">
        <v>5224</v>
      </c>
      <c r="B900" s="3" t="s">
        <v>5225</v>
      </c>
      <c r="C900" s="2"/>
      <c r="D900" s="2" t="s">
        <v>82</v>
      </c>
      <c r="E900" s="2" t="s">
        <v>53</v>
      </c>
      <c r="F900" s="2" t="s">
        <v>5226</v>
      </c>
      <c r="G900" s="2" t="s">
        <v>5227</v>
      </c>
      <c r="H900" s="2" t="s">
        <v>329</v>
      </c>
      <c r="I900" s="2" t="s">
        <v>20</v>
      </c>
      <c r="J900" s="2" t="s">
        <v>71</v>
      </c>
      <c r="K900" s="2" t="s">
        <v>87</v>
      </c>
      <c r="L900" s="2" t="s">
        <v>5228</v>
      </c>
      <c r="M900" s="2"/>
    </row>
    <row r="901" customFormat="false" ht="23.85" hidden="false" customHeight="false" outlineLevel="0" collapsed="false">
      <c r="A901" s="2" t="s">
        <v>5229</v>
      </c>
      <c r="B901" s="3" t="s">
        <v>5230</v>
      </c>
      <c r="C901" s="2"/>
      <c r="D901" s="2" t="s">
        <v>223</v>
      </c>
      <c r="E901" s="2" t="s">
        <v>1094</v>
      </c>
      <c r="F901" s="2" t="s">
        <v>5231</v>
      </c>
      <c r="G901" s="2" t="s">
        <v>5232</v>
      </c>
      <c r="H901" s="2" t="s">
        <v>5233</v>
      </c>
      <c r="I901" s="2" t="s">
        <v>78</v>
      </c>
      <c r="J901" s="2" t="s">
        <v>71</v>
      </c>
      <c r="K901" s="2" t="s">
        <v>87</v>
      </c>
      <c r="L901" s="2" t="s">
        <v>5234</v>
      </c>
      <c r="M901" s="2"/>
    </row>
    <row r="902" customFormat="false" ht="23.85" hidden="false" customHeight="false" outlineLevel="0" collapsed="false">
      <c r="A902" s="2" t="s">
        <v>5235</v>
      </c>
      <c r="B902" s="3" t="s">
        <v>5236</v>
      </c>
      <c r="C902" s="2"/>
      <c r="D902" s="2" t="s">
        <v>179</v>
      </c>
      <c r="E902" s="2" t="s">
        <v>53</v>
      </c>
      <c r="F902" s="2" t="s">
        <v>5237</v>
      </c>
      <c r="G902" s="2" t="s">
        <v>5238</v>
      </c>
      <c r="H902" s="2" t="s">
        <v>174</v>
      </c>
      <c r="I902" s="2" t="s">
        <v>182</v>
      </c>
      <c r="J902" s="2" t="s">
        <v>71</v>
      </c>
      <c r="K902" s="2" t="s">
        <v>72</v>
      </c>
      <c r="L902" s="2" t="s">
        <v>5239</v>
      </c>
      <c r="M902" s="2" t="s">
        <v>5240</v>
      </c>
    </row>
    <row r="903" customFormat="false" ht="15" hidden="false" customHeight="false" outlineLevel="0" collapsed="false">
      <c r="A903" s="2" t="s">
        <v>5241</v>
      </c>
      <c r="B903" s="3" t="s">
        <v>5242</v>
      </c>
      <c r="C903" s="2"/>
      <c r="D903" s="2" t="s">
        <v>59</v>
      </c>
      <c r="E903" s="2" t="s">
        <v>35</v>
      </c>
      <c r="F903" s="2" t="s">
        <v>5243</v>
      </c>
      <c r="G903" s="2" t="s">
        <v>5244</v>
      </c>
      <c r="H903" s="2" t="s">
        <v>543</v>
      </c>
      <c r="I903" s="2" t="s">
        <v>29</v>
      </c>
      <c r="J903" s="2" t="s">
        <v>71</v>
      </c>
      <c r="K903" s="2" t="s">
        <v>22</v>
      </c>
      <c r="L903" s="2" t="s">
        <v>5245</v>
      </c>
      <c r="M903" s="2"/>
    </row>
    <row r="904" customFormat="false" ht="23.85" hidden="false" customHeight="false" outlineLevel="0" collapsed="false">
      <c r="A904" s="2" t="s">
        <v>5246</v>
      </c>
      <c r="B904" s="3" t="s">
        <v>5247</v>
      </c>
      <c r="C904" s="2"/>
      <c r="D904" s="2" t="s">
        <v>82</v>
      </c>
      <c r="E904" s="2" t="s">
        <v>216</v>
      </c>
      <c r="F904" s="2" t="s">
        <v>5248</v>
      </c>
      <c r="G904" s="2" t="s">
        <v>5249</v>
      </c>
      <c r="H904" s="2" t="s">
        <v>47</v>
      </c>
      <c r="I904" s="2" t="s">
        <v>85</v>
      </c>
      <c r="J904" s="2" t="s">
        <v>71</v>
      </c>
      <c r="K904" s="2" t="s">
        <v>22</v>
      </c>
      <c r="L904" s="2" t="s">
        <v>5250</v>
      </c>
      <c r="M904" s="2"/>
    </row>
    <row r="905" customFormat="false" ht="23.85" hidden="false" customHeight="false" outlineLevel="0" collapsed="false">
      <c r="A905" s="2" t="s">
        <v>5251</v>
      </c>
      <c r="B905" s="3" t="s">
        <v>5252</v>
      </c>
      <c r="C905" s="2" t="s">
        <v>5253</v>
      </c>
      <c r="D905" s="2" t="s">
        <v>82</v>
      </c>
      <c r="E905" s="2" t="s">
        <v>16</v>
      </c>
      <c r="F905" s="2" t="s">
        <v>5254</v>
      </c>
      <c r="G905" s="2" t="s">
        <v>5255</v>
      </c>
      <c r="H905" s="2" t="s">
        <v>47</v>
      </c>
      <c r="I905" s="2" t="s">
        <v>85</v>
      </c>
      <c r="J905" s="2" t="s">
        <v>71</v>
      </c>
      <c r="K905" s="2" t="s">
        <v>72</v>
      </c>
      <c r="L905" s="2" t="s">
        <v>5256</v>
      </c>
      <c r="M905" s="2" t="s">
        <v>5257</v>
      </c>
    </row>
    <row r="906" customFormat="false" ht="23.85" hidden="false" customHeight="false" outlineLevel="0" collapsed="false">
      <c r="A906" s="2" t="s">
        <v>5258</v>
      </c>
      <c r="B906" s="3" t="s">
        <v>5259</v>
      </c>
      <c r="C906" s="2" t="s">
        <v>5260</v>
      </c>
      <c r="D906" s="2" t="s">
        <v>238</v>
      </c>
      <c r="E906" s="2" t="s">
        <v>16</v>
      </c>
      <c r="F906" s="2" t="s">
        <v>5261</v>
      </c>
      <c r="G906" s="2" t="s">
        <v>5262</v>
      </c>
      <c r="H906" s="2" t="s">
        <v>5263</v>
      </c>
      <c r="I906" s="2" t="s">
        <v>48</v>
      </c>
      <c r="J906" s="2" t="s">
        <v>71</v>
      </c>
      <c r="K906" s="2" t="s">
        <v>22</v>
      </c>
      <c r="L906" s="2" t="s">
        <v>5264</v>
      </c>
      <c r="M906" s="2" t="s">
        <v>5265</v>
      </c>
    </row>
    <row r="907" customFormat="false" ht="23.85" hidden="false" customHeight="false" outlineLevel="0" collapsed="false">
      <c r="A907" s="2" t="s">
        <v>5266</v>
      </c>
      <c r="B907" s="3" t="s">
        <v>5267</v>
      </c>
      <c r="C907" s="2" t="s">
        <v>5268</v>
      </c>
      <c r="D907" s="2" t="s">
        <v>238</v>
      </c>
      <c r="E907" s="2" t="s">
        <v>99</v>
      </c>
      <c r="F907" s="2" t="s">
        <v>5269</v>
      </c>
      <c r="G907" s="2" t="s">
        <v>5270</v>
      </c>
      <c r="H907" s="2" t="s">
        <v>47</v>
      </c>
      <c r="I907" s="2" t="s">
        <v>119</v>
      </c>
      <c r="J907" s="2" t="s">
        <v>86</v>
      </c>
      <c r="K907" s="2" t="s">
        <v>72</v>
      </c>
      <c r="L907" s="2" t="s">
        <v>5271</v>
      </c>
      <c r="M907" s="2"/>
    </row>
    <row r="908" customFormat="false" ht="23.85" hidden="false" customHeight="false" outlineLevel="0" collapsed="false">
      <c r="A908" s="2" t="s">
        <v>5271</v>
      </c>
      <c r="B908" s="3" t="s">
        <v>5272</v>
      </c>
      <c r="C908" s="2" t="s">
        <v>5273</v>
      </c>
      <c r="D908" s="2" t="s">
        <v>238</v>
      </c>
      <c r="E908" s="2" t="s">
        <v>116</v>
      </c>
      <c r="F908" s="2" t="s">
        <v>5274</v>
      </c>
      <c r="G908" s="2" t="s">
        <v>5275</v>
      </c>
      <c r="H908" s="2" t="s">
        <v>47</v>
      </c>
      <c r="I908" s="2" t="s">
        <v>119</v>
      </c>
      <c r="J908" s="2" t="s">
        <v>71</v>
      </c>
      <c r="K908" s="2" t="s">
        <v>72</v>
      </c>
      <c r="L908" s="2" t="s">
        <v>5276</v>
      </c>
      <c r="M908" s="2"/>
    </row>
    <row r="909" customFormat="false" ht="15" hidden="false" customHeight="false" outlineLevel="0" collapsed="false">
      <c r="A909" s="2" t="s">
        <v>5277</v>
      </c>
      <c r="B909" s="3" t="s">
        <v>5278</v>
      </c>
      <c r="C909" s="2" t="s">
        <v>5279</v>
      </c>
      <c r="D909" s="2" t="s">
        <v>59</v>
      </c>
      <c r="E909" s="2" t="s">
        <v>35</v>
      </c>
      <c r="F909" s="2" t="s">
        <v>5280</v>
      </c>
      <c r="G909" s="2" t="s">
        <v>5281</v>
      </c>
      <c r="H909" s="2" t="s">
        <v>543</v>
      </c>
      <c r="I909" s="2" t="s">
        <v>138</v>
      </c>
      <c r="J909" s="2" t="s">
        <v>71</v>
      </c>
      <c r="K909" s="2" t="s">
        <v>72</v>
      </c>
      <c r="L909" s="2" t="s">
        <v>1961</v>
      </c>
      <c r="M909" s="2"/>
    </row>
    <row r="910" customFormat="false" ht="23.85" hidden="false" customHeight="false" outlineLevel="0" collapsed="false">
      <c r="A910" s="2" t="s">
        <v>5282</v>
      </c>
      <c r="B910" s="3" t="s">
        <v>5283</v>
      </c>
      <c r="C910" s="2" t="s">
        <v>5284</v>
      </c>
      <c r="D910" s="2" t="s">
        <v>15</v>
      </c>
      <c r="E910" s="2" t="s">
        <v>116</v>
      </c>
      <c r="F910" s="2" t="s">
        <v>5285</v>
      </c>
      <c r="G910" s="2" t="s">
        <v>5286</v>
      </c>
      <c r="H910" s="2" t="s">
        <v>47</v>
      </c>
      <c r="I910" s="2" t="s">
        <v>94</v>
      </c>
      <c r="J910" s="2" t="s">
        <v>86</v>
      </c>
      <c r="K910" s="2" t="s">
        <v>72</v>
      </c>
      <c r="L910" s="2" t="s">
        <v>5287</v>
      </c>
      <c r="M910" s="2"/>
    </row>
    <row r="911" customFormat="false" ht="15" hidden="false" customHeight="false" outlineLevel="0" collapsed="false">
      <c r="A911" s="2" t="s">
        <v>5288</v>
      </c>
      <c r="B911" s="3" t="s">
        <v>1589</v>
      </c>
      <c r="C911" s="2"/>
      <c r="D911" s="2" t="s">
        <v>82</v>
      </c>
      <c r="E911" s="2" t="s">
        <v>684</v>
      </c>
      <c r="F911" s="2" t="s">
        <v>5289</v>
      </c>
      <c r="G911" s="2" t="s">
        <v>5290</v>
      </c>
      <c r="H911" s="2" t="s">
        <v>47</v>
      </c>
      <c r="I911" s="2" t="s">
        <v>63</v>
      </c>
      <c r="J911" s="2" t="s">
        <v>21</v>
      </c>
      <c r="K911" s="2" t="s">
        <v>22</v>
      </c>
      <c r="L911" s="2" t="s">
        <v>1587</v>
      </c>
      <c r="M911" s="2"/>
    </row>
    <row r="912" customFormat="false" ht="15" hidden="false" customHeight="false" outlineLevel="0" collapsed="false">
      <c r="A912" s="2" t="s">
        <v>5291</v>
      </c>
      <c r="B912" s="3" t="s">
        <v>5292</v>
      </c>
      <c r="C912" s="2"/>
      <c r="D912" s="2" t="s">
        <v>15</v>
      </c>
      <c r="E912" s="2" t="s">
        <v>591</v>
      </c>
      <c r="F912" s="2" t="s">
        <v>5293</v>
      </c>
      <c r="G912" s="2" t="s">
        <v>5294</v>
      </c>
      <c r="H912" s="2" t="s">
        <v>47</v>
      </c>
      <c r="I912" s="2" t="s">
        <v>63</v>
      </c>
      <c r="J912" s="2" t="s">
        <v>71</v>
      </c>
      <c r="K912" s="2" t="s">
        <v>72</v>
      </c>
      <c r="L912" s="2" t="s">
        <v>3799</v>
      </c>
      <c r="M912" s="2"/>
    </row>
    <row r="913" customFormat="false" ht="23.85" hidden="false" customHeight="false" outlineLevel="0" collapsed="false">
      <c r="A913" s="2" t="s">
        <v>594</v>
      </c>
      <c r="B913" s="3" t="s">
        <v>5295</v>
      </c>
      <c r="C913" s="2" t="s">
        <v>5296</v>
      </c>
      <c r="D913" s="2" t="s">
        <v>15</v>
      </c>
      <c r="E913" s="2" t="s">
        <v>591</v>
      </c>
      <c r="F913" s="2" t="s">
        <v>5297</v>
      </c>
      <c r="G913" s="2" t="s">
        <v>5298</v>
      </c>
      <c r="H913" s="2" t="s">
        <v>47</v>
      </c>
      <c r="I913" s="2" t="s">
        <v>78</v>
      </c>
      <c r="J913" s="2" t="s">
        <v>71</v>
      </c>
      <c r="K913" s="2" t="s">
        <v>72</v>
      </c>
      <c r="L913" s="2" t="s">
        <v>5299</v>
      </c>
      <c r="M913" s="2" t="s">
        <v>5300</v>
      </c>
    </row>
    <row r="914" customFormat="false" ht="23.85" hidden="false" customHeight="false" outlineLevel="0" collapsed="false">
      <c r="A914" s="2" t="s">
        <v>5126</v>
      </c>
      <c r="B914" s="3" t="s">
        <v>5301</v>
      </c>
      <c r="C914" s="2" t="s">
        <v>5302</v>
      </c>
      <c r="D914" s="2" t="s">
        <v>238</v>
      </c>
      <c r="E914" s="2" t="s">
        <v>1662</v>
      </c>
      <c r="F914" s="2" t="s">
        <v>5303</v>
      </c>
      <c r="G914" s="2" t="s">
        <v>5304</v>
      </c>
      <c r="H914" s="2" t="s">
        <v>5305</v>
      </c>
      <c r="I914" s="2" t="s">
        <v>78</v>
      </c>
      <c r="J914" s="2" t="s">
        <v>71</v>
      </c>
      <c r="K914" s="2" t="s">
        <v>72</v>
      </c>
      <c r="L914" s="2" t="s">
        <v>5306</v>
      </c>
      <c r="M914" s="2" t="s">
        <v>5307</v>
      </c>
    </row>
    <row r="915" customFormat="false" ht="23.85" hidden="false" customHeight="false" outlineLevel="0" collapsed="false">
      <c r="A915" s="2" t="s">
        <v>5308</v>
      </c>
      <c r="B915" s="3" t="s">
        <v>5309</v>
      </c>
      <c r="C915" s="2" t="s">
        <v>5310</v>
      </c>
      <c r="D915" s="2" t="s">
        <v>231</v>
      </c>
      <c r="E915" s="2" t="s">
        <v>1662</v>
      </c>
      <c r="F915" s="2" t="s">
        <v>5311</v>
      </c>
      <c r="G915" s="2" t="s">
        <v>5312</v>
      </c>
      <c r="H915" s="2" t="s">
        <v>5313</v>
      </c>
      <c r="I915" s="2" t="s">
        <v>48</v>
      </c>
      <c r="J915" s="2" t="s">
        <v>71</v>
      </c>
      <c r="K915" s="2" t="s">
        <v>72</v>
      </c>
      <c r="L915" s="2" t="s">
        <v>5314</v>
      </c>
      <c r="M915" s="2" t="s">
        <v>5315</v>
      </c>
    </row>
    <row r="916" customFormat="false" ht="23.85" hidden="false" customHeight="false" outlineLevel="0" collapsed="false">
      <c r="A916" s="2" t="s">
        <v>5316</v>
      </c>
      <c r="B916" s="3" t="s">
        <v>5317</v>
      </c>
      <c r="C916" s="2" t="s">
        <v>5318</v>
      </c>
      <c r="D916" s="2" t="s">
        <v>251</v>
      </c>
      <c r="E916" s="2" t="s">
        <v>251</v>
      </c>
      <c r="F916" s="2" t="s">
        <v>5319</v>
      </c>
      <c r="G916" s="2" t="s">
        <v>5320</v>
      </c>
      <c r="H916" s="2" t="s">
        <v>255</v>
      </c>
      <c r="I916" s="2" t="s">
        <v>48</v>
      </c>
      <c r="J916" s="2" t="s">
        <v>21</v>
      </c>
      <c r="K916" s="2" t="s">
        <v>22</v>
      </c>
      <c r="L916" s="2" t="s">
        <v>5321</v>
      </c>
      <c r="M916" s="2"/>
    </row>
    <row r="917" customFormat="false" ht="15" hidden="false" customHeight="false" outlineLevel="0" collapsed="false">
      <c r="A917" s="2" t="s">
        <v>5322</v>
      </c>
      <c r="B917" s="3" t="s">
        <v>5323</v>
      </c>
      <c r="C917" s="2"/>
      <c r="D917" s="2" t="s">
        <v>15</v>
      </c>
      <c r="E917" s="2" t="s">
        <v>16</v>
      </c>
      <c r="F917" s="2" t="s">
        <v>5324</v>
      </c>
      <c r="G917" s="2" t="s">
        <v>5325</v>
      </c>
      <c r="H917" s="2" t="s">
        <v>47</v>
      </c>
      <c r="I917" s="2" t="s">
        <v>508</v>
      </c>
      <c r="J917" s="2" t="s">
        <v>71</v>
      </c>
      <c r="K917" s="2" t="s">
        <v>72</v>
      </c>
      <c r="L917" s="2" t="s">
        <v>5326</v>
      </c>
      <c r="M917" s="2"/>
    </row>
    <row r="918" customFormat="false" ht="23.85" hidden="false" customHeight="false" outlineLevel="0" collapsed="false">
      <c r="A918" s="2" t="s">
        <v>3028</v>
      </c>
      <c r="B918" s="3" t="s">
        <v>5327</v>
      </c>
      <c r="C918" s="2" t="s">
        <v>5328</v>
      </c>
      <c r="D918" s="2" t="s">
        <v>15</v>
      </c>
      <c r="E918" s="2" t="s">
        <v>16</v>
      </c>
      <c r="F918" s="2" t="s">
        <v>5329</v>
      </c>
      <c r="G918" s="2" t="s">
        <v>5330</v>
      </c>
      <c r="H918" s="2" t="s">
        <v>47</v>
      </c>
      <c r="I918" s="2" t="s">
        <v>20</v>
      </c>
      <c r="J918" s="2" t="s">
        <v>71</v>
      </c>
      <c r="K918" s="2" t="s">
        <v>22</v>
      </c>
      <c r="L918" s="2" t="s">
        <v>3023</v>
      </c>
      <c r="M918" s="2"/>
    </row>
    <row r="919" customFormat="false" ht="23.85" hidden="false" customHeight="false" outlineLevel="0" collapsed="false">
      <c r="A919" s="2" t="s">
        <v>5331</v>
      </c>
      <c r="B919" s="3" t="s">
        <v>5332</v>
      </c>
      <c r="C919" s="2"/>
      <c r="D919" s="2" t="s">
        <v>231</v>
      </c>
      <c r="E919" s="2" t="s">
        <v>5052</v>
      </c>
      <c r="F919" s="2" t="s">
        <v>5333</v>
      </c>
      <c r="G919" s="2" t="s">
        <v>5334</v>
      </c>
      <c r="H919" s="2"/>
      <c r="I919" s="2" t="s">
        <v>48</v>
      </c>
      <c r="J919" s="2" t="s">
        <v>21</v>
      </c>
      <c r="K919" s="2" t="s">
        <v>22</v>
      </c>
      <c r="L919" s="2" t="s">
        <v>3189</v>
      </c>
      <c r="M919" s="2"/>
    </row>
    <row r="920" customFormat="false" ht="23.85" hidden="false" customHeight="false" outlineLevel="0" collapsed="false">
      <c r="A920" s="2" t="s">
        <v>5335</v>
      </c>
      <c r="B920" s="3" t="s">
        <v>5336</v>
      </c>
      <c r="C920" s="2" t="s">
        <v>5337</v>
      </c>
      <c r="D920" s="2" t="s">
        <v>34</v>
      </c>
      <c r="E920" s="2" t="s">
        <v>16</v>
      </c>
      <c r="F920" s="2" t="s">
        <v>5338</v>
      </c>
      <c r="G920" s="2" t="s">
        <v>5339</v>
      </c>
      <c r="H920" s="2" t="s">
        <v>38</v>
      </c>
      <c r="I920" s="2" t="s">
        <v>29</v>
      </c>
      <c r="J920" s="2" t="s">
        <v>21</v>
      </c>
      <c r="K920" s="2" t="s">
        <v>72</v>
      </c>
      <c r="L920" s="2" t="s">
        <v>5340</v>
      </c>
      <c r="M920" s="2"/>
    </row>
    <row r="921" customFormat="false" ht="15" hidden="false" customHeight="false" outlineLevel="0" collapsed="false">
      <c r="A921" s="2" t="s">
        <v>5341</v>
      </c>
      <c r="B921" s="3" t="s">
        <v>5342</v>
      </c>
      <c r="C921" s="2" t="s">
        <v>5343</v>
      </c>
      <c r="D921" s="2" t="s">
        <v>82</v>
      </c>
      <c r="E921" s="2" t="s">
        <v>591</v>
      </c>
      <c r="F921" s="2" t="s">
        <v>5344</v>
      </c>
      <c r="G921" s="2" t="s">
        <v>5345</v>
      </c>
      <c r="H921" s="2" t="s">
        <v>47</v>
      </c>
      <c r="I921" s="2" t="s">
        <v>85</v>
      </c>
      <c r="J921" s="2" t="s">
        <v>21</v>
      </c>
      <c r="K921" s="2" t="s">
        <v>72</v>
      </c>
      <c r="L921" s="2" t="s">
        <v>5346</v>
      </c>
      <c r="M921" s="2"/>
    </row>
    <row r="922" customFormat="false" ht="23.85" hidden="false" customHeight="false" outlineLevel="0" collapsed="false">
      <c r="A922" s="2" t="s">
        <v>5347</v>
      </c>
      <c r="B922" s="3" t="s">
        <v>5348</v>
      </c>
      <c r="C922" s="2" t="s">
        <v>5349</v>
      </c>
      <c r="D922" s="2" t="s">
        <v>15</v>
      </c>
      <c r="E922" s="2" t="s">
        <v>312</v>
      </c>
      <c r="F922" s="2" t="s">
        <v>5350</v>
      </c>
      <c r="G922" s="2" t="s">
        <v>5351</v>
      </c>
      <c r="H922" s="2" t="s">
        <v>47</v>
      </c>
      <c r="I922" s="2" t="s">
        <v>78</v>
      </c>
      <c r="J922" s="2" t="s">
        <v>71</v>
      </c>
      <c r="K922" s="2" t="s">
        <v>22</v>
      </c>
      <c r="L922" s="2" t="s">
        <v>5352</v>
      </c>
      <c r="M922" s="2"/>
    </row>
    <row r="923" customFormat="false" ht="23.85" hidden="false" customHeight="false" outlineLevel="0" collapsed="false">
      <c r="A923" s="2" t="s">
        <v>5353</v>
      </c>
      <c r="B923" s="3" t="s">
        <v>5354</v>
      </c>
      <c r="C923" s="2"/>
      <c r="D923" s="2" t="s">
        <v>43</v>
      </c>
      <c r="E923" s="2" t="s">
        <v>494</v>
      </c>
      <c r="F923" s="2" t="s">
        <v>5355</v>
      </c>
      <c r="G923" s="2" t="s">
        <v>5356</v>
      </c>
      <c r="H923" s="2"/>
      <c r="I923" s="2" t="s">
        <v>78</v>
      </c>
      <c r="J923" s="2" t="s">
        <v>71</v>
      </c>
      <c r="K923" s="2" t="s">
        <v>72</v>
      </c>
      <c r="L923" s="2" t="s">
        <v>5357</v>
      </c>
      <c r="M923" s="2"/>
    </row>
    <row r="924" customFormat="false" ht="23.85" hidden="false" customHeight="false" outlineLevel="0" collapsed="false">
      <c r="A924" s="2" t="s">
        <v>4793</v>
      </c>
      <c r="B924" s="3" t="s">
        <v>5358</v>
      </c>
      <c r="C924" s="2" t="s">
        <v>5359</v>
      </c>
      <c r="D924" s="2" t="s">
        <v>15</v>
      </c>
      <c r="E924" s="2" t="s">
        <v>16</v>
      </c>
      <c r="F924" s="2" t="s">
        <v>5360</v>
      </c>
      <c r="G924" s="2" t="s">
        <v>5361</v>
      </c>
      <c r="H924" s="2" t="s">
        <v>47</v>
      </c>
      <c r="I924" s="2" t="s">
        <v>182</v>
      </c>
      <c r="J924" s="2" t="s">
        <v>86</v>
      </c>
      <c r="K924" s="2" t="s">
        <v>87</v>
      </c>
      <c r="L924" s="2" t="s">
        <v>5362</v>
      </c>
      <c r="M924" s="2"/>
    </row>
    <row r="925" customFormat="false" ht="15" hidden="false" customHeight="false" outlineLevel="0" collapsed="false">
      <c r="A925" s="2" t="s">
        <v>5363</v>
      </c>
      <c r="B925" s="3" t="s">
        <v>5364</v>
      </c>
      <c r="C925" s="2" t="s">
        <v>5365</v>
      </c>
      <c r="D925" s="2" t="s">
        <v>15</v>
      </c>
      <c r="E925" s="2" t="s">
        <v>16</v>
      </c>
      <c r="F925" s="2" t="s">
        <v>5366</v>
      </c>
      <c r="G925" s="2" t="s">
        <v>5367</v>
      </c>
      <c r="H925" s="2" t="s">
        <v>47</v>
      </c>
      <c r="I925" s="2" t="s">
        <v>799</v>
      </c>
      <c r="J925" s="2" t="s">
        <v>86</v>
      </c>
      <c r="K925" s="2" t="s">
        <v>22</v>
      </c>
      <c r="L925" s="2" t="s">
        <v>2545</v>
      </c>
      <c r="M925" s="2"/>
    </row>
    <row r="926" customFormat="false" ht="23.85" hidden="false" customHeight="false" outlineLevel="0" collapsed="false">
      <c r="A926" s="2" t="s">
        <v>5368</v>
      </c>
      <c r="B926" s="3" t="s">
        <v>5369</v>
      </c>
      <c r="C926" s="2" t="s">
        <v>5370</v>
      </c>
      <c r="D926" s="2" t="s">
        <v>34</v>
      </c>
      <c r="E926" s="2" t="s">
        <v>548</v>
      </c>
      <c r="F926" s="2" t="s">
        <v>5371</v>
      </c>
      <c r="G926" s="2" t="s">
        <v>5372</v>
      </c>
      <c r="H926" s="2" t="s">
        <v>288</v>
      </c>
      <c r="I926" s="2" t="s">
        <v>78</v>
      </c>
      <c r="J926" s="2" t="s">
        <v>71</v>
      </c>
      <c r="K926" s="2" t="s">
        <v>72</v>
      </c>
      <c r="L926" s="2" t="s">
        <v>5373</v>
      </c>
      <c r="M926" s="2"/>
    </row>
    <row r="927" customFormat="false" ht="23.85" hidden="false" customHeight="false" outlineLevel="0" collapsed="false">
      <c r="A927" s="2" t="s">
        <v>5374</v>
      </c>
      <c r="B927" s="3" t="s">
        <v>5375</v>
      </c>
      <c r="C927" s="2"/>
      <c r="D927" s="2" t="s">
        <v>82</v>
      </c>
      <c r="E927" s="2" t="s">
        <v>208</v>
      </c>
      <c r="F927" s="2" t="s">
        <v>5376</v>
      </c>
      <c r="G927" s="2" t="s">
        <v>5377</v>
      </c>
      <c r="H927" s="2" t="s">
        <v>47</v>
      </c>
      <c r="I927" s="2" t="s">
        <v>63</v>
      </c>
      <c r="J927" s="2" t="s">
        <v>21</v>
      </c>
      <c r="K927" s="2" t="s">
        <v>22</v>
      </c>
      <c r="L927" s="2" t="s">
        <v>5378</v>
      </c>
      <c r="M927" s="2"/>
    </row>
    <row r="928" customFormat="false" ht="23.85" hidden="false" customHeight="false" outlineLevel="0" collapsed="false">
      <c r="A928" s="2" t="s">
        <v>5378</v>
      </c>
      <c r="B928" s="3" t="s">
        <v>5379</v>
      </c>
      <c r="C928" s="2" t="s">
        <v>5380</v>
      </c>
      <c r="D928" s="2" t="s">
        <v>238</v>
      </c>
      <c r="E928" s="2" t="s">
        <v>208</v>
      </c>
      <c r="F928" s="2" t="s">
        <v>5381</v>
      </c>
      <c r="G928" s="2" t="s">
        <v>5382</v>
      </c>
      <c r="H928" s="2" t="s">
        <v>3006</v>
      </c>
      <c r="I928" s="2" t="s">
        <v>48</v>
      </c>
      <c r="J928" s="2" t="s">
        <v>21</v>
      </c>
      <c r="K928" s="2" t="s">
        <v>72</v>
      </c>
      <c r="L928" s="2" t="s">
        <v>5383</v>
      </c>
      <c r="M928" s="2" t="s">
        <v>5384</v>
      </c>
    </row>
    <row r="929" customFormat="false" ht="15" hidden="false" customHeight="false" outlineLevel="0" collapsed="false">
      <c r="A929" s="2" t="s">
        <v>5385</v>
      </c>
      <c r="B929" s="3" t="s">
        <v>5386</v>
      </c>
      <c r="C929" s="2"/>
      <c r="D929" s="2" t="s">
        <v>179</v>
      </c>
      <c r="E929" s="2" t="s">
        <v>684</v>
      </c>
      <c r="F929" s="2" t="s">
        <v>5387</v>
      </c>
      <c r="G929" s="2" t="s">
        <v>5388</v>
      </c>
      <c r="H929" s="2" t="s">
        <v>174</v>
      </c>
      <c r="I929" s="2" t="s">
        <v>508</v>
      </c>
      <c r="J929" s="2" t="s">
        <v>86</v>
      </c>
      <c r="K929" s="2" t="s">
        <v>87</v>
      </c>
      <c r="L929" s="2" t="s">
        <v>5389</v>
      </c>
      <c r="M929" s="2"/>
    </row>
    <row r="930" customFormat="false" ht="23.85" hidden="false" customHeight="false" outlineLevel="0" collapsed="false">
      <c r="A930" s="2" t="s">
        <v>5390</v>
      </c>
      <c r="B930" s="3" t="s">
        <v>5391</v>
      </c>
      <c r="C930" s="2" t="s">
        <v>5392</v>
      </c>
      <c r="D930" s="2" t="s">
        <v>231</v>
      </c>
      <c r="E930" s="2" t="s">
        <v>53</v>
      </c>
      <c r="F930" s="2" t="s">
        <v>5393</v>
      </c>
      <c r="G930" s="2" t="s">
        <v>5394</v>
      </c>
      <c r="H930" s="2"/>
      <c r="I930" s="2" t="s">
        <v>78</v>
      </c>
      <c r="J930" s="2" t="s">
        <v>71</v>
      </c>
      <c r="K930" s="2" t="s">
        <v>87</v>
      </c>
      <c r="L930" s="2" t="s">
        <v>5395</v>
      </c>
      <c r="M930" s="2" t="s">
        <v>5396</v>
      </c>
    </row>
    <row r="931" customFormat="false" ht="23.85" hidden="false" customHeight="false" outlineLevel="0" collapsed="false">
      <c r="A931" s="2" t="s">
        <v>5397</v>
      </c>
      <c r="B931" s="3" t="s">
        <v>5398</v>
      </c>
      <c r="C931" s="2" t="s">
        <v>5399</v>
      </c>
      <c r="D931" s="2" t="s">
        <v>179</v>
      </c>
      <c r="E931" s="2" t="s">
        <v>1535</v>
      </c>
      <c r="F931" s="2" t="s">
        <v>5400</v>
      </c>
      <c r="G931" s="2" t="s">
        <v>5401</v>
      </c>
      <c r="H931" s="2" t="s">
        <v>47</v>
      </c>
      <c r="I931" s="2" t="s">
        <v>20</v>
      </c>
      <c r="J931" s="2" t="s">
        <v>86</v>
      </c>
      <c r="K931" s="2" t="s">
        <v>72</v>
      </c>
      <c r="L931" s="2" t="s">
        <v>5402</v>
      </c>
      <c r="M931" s="2"/>
    </row>
    <row r="932" customFormat="false" ht="23.85" hidden="false" customHeight="false" outlineLevel="0" collapsed="false">
      <c r="A932" s="2" t="s">
        <v>5403</v>
      </c>
      <c r="B932" s="3" t="s">
        <v>5404</v>
      </c>
      <c r="C932" s="2" t="s">
        <v>5405</v>
      </c>
      <c r="D932" s="2" t="s">
        <v>43</v>
      </c>
      <c r="E932" s="2" t="s">
        <v>53</v>
      </c>
      <c r="F932" s="2" t="s">
        <v>5406</v>
      </c>
      <c r="G932" s="2" t="s">
        <v>5407</v>
      </c>
      <c r="H932" s="2" t="s">
        <v>1288</v>
      </c>
      <c r="I932" s="2" t="s">
        <v>78</v>
      </c>
      <c r="J932" s="2" t="s">
        <v>71</v>
      </c>
      <c r="K932" s="2" t="s">
        <v>72</v>
      </c>
      <c r="L932" s="2" t="s">
        <v>5408</v>
      </c>
      <c r="M932" s="2" t="s">
        <v>5409</v>
      </c>
    </row>
    <row r="933" customFormat="false" ht="15" hidden="false" customHeight="false" outlineLevel="0" collapsed="false">
      <c r="A933" s="2" t="s">
        <v>5410</v>
      </c>
      <c r="B933" s="3" t="s">
        <v>5411</v>
      </c>
      <c r="C933" s="2"/>
      <c r="D933" s="2" t="s">
        <v>82</v>
      </c>
      <c r="E933" s="2" t="s">
        <v>312</v>
      </c>
      <c r="F933" s="2" t="s">
        <v>5412</v>
      </c>
      <c r="G933" s="2" t="s">
        <v>5413</v>
      </c>
      <c r="H933" s="2" t="s">
        <v>47</v>
      </c>
      <c r="I933" s="2" t="s">
        <v>63</v>
      </c>
      <c r="J933" s="2" t="s">
        <v>21</v>
      </c>
      <c r="K933" s="2" t="s">
        <v>22</v>
      </c>
      <c r="L933" s="2" t="s">
        <v>1892</v>
      </c>
      <c r="M933" s="2"/>
    </row>
    <row r="934" customFormat="false" ht="23.85" hidden="false" customHeight="false" outlineLevel="0" collapsed="false">
      <c r="A934" s="2" t="s">
        <v>5414</v>
      </c>
      <c r="B934" s="3" t="s">
        <v>5415</v>
      </c>
      <c r="C934" s="2"/>
      <c r="D934" s="2" t="s">
        <v>15</v>
      </c>
      <c r="E934" s="2" t="s">
        <v>2750</v>
      </c>
      <c r="F934" s="2" t="s">
        <v>5416</v>
      </c>
      <c r="G934" s="2" t="s">
        <v>5417</v>
      </c>
      <c r="H934" s="2" t="s">
        <v>47</v>
      </c>
      <c r="I934" s="2" t="s">
        <v>20</v>
      </c>
      <c r="J934" s="2" t="s">
        <v>71</v>
      </c>
      <c r="K934" s="2" t="s">
        <v>72</v>
      </c>
      <c r="L934" s="2" t="s">
        <v>3121</v>
      </c>
      <c r="M934" s="2" t="s">
        <v>5418</v>
      </c>
    </row>
    <row r="935" customFormat="false" ht="15" hidden="false" customHeight="false" outlineLevel="0" collapsed="false">
      <c r="A935" s="2" t="s">
        <v>5419</v>
      </c>
      <c r="B935" s="3" t="s">
        <v>5420</v>
      </c>
      <c r="C935" s="2" t="s">
        <v>5421</v>
      </c>
      <c r="D935" s="2" t="s">
        <v>34</v>
      </c>
      <c r="E935" s="2" t="s">
        <v>116</v>
      </c>
      <c r="F935" s="2" t="s">
        <v>5422</v>
      </c>
      <c r="G935" s="2" t="s">
        <v>5423</v>
      </c>
      <c r="H935" s="2" t="s">
        <v>288</v>
      </c>
      <c r="I935" s="2" t="s">
        <v>508</v>
      </c>
      <c r="J935" s="2" t="s">
        <v>86</v>
      </c>
      <c r="K935" s="2" t="s">
        <v>72</v>
      </c>
      <c r="L935" s="2" t="s">
        <v>5424</v>
      </c>
      <c r="M935" s="2" t="s">
        <v>5425</v>
      </c>
    </row>
    <row r="936" customFormat="false" ht="23.85" hidden="false" customHeight="false" outlineLevel="0" collapsed="false">
      <c r="A936" s="2" t="s">
        <v>5426</v>
      </c>
      <c r="B936" s="3" t="s">
        <v>5427</v>
      </c>
      <c r="C936" s="2"/>
      <c r="D936" s="2" t="s">
        <v>52</v>
      </c>
      <c r="E936" s="2" t="s">
        <v>684</v>
      </c>
      <c r="F936" s="2" t="s">
        <v>5428</v>
      </c>
      <c r="G936" s="2" t="s">
        <v>5429</v>
      </c>
      <c r="H936" s="2" t="s">
        <v>452</v>
      </c>
      <c r="I936" s="2" t="s">
        <v>48</v>
      </c>
      <c r="J936" s="2" t="s">
        <v>71</v>
      </c>
      <c r="K936" s="2" t="s">
        <v>22</v>
      </c>
      <c r="L936" s="2" t="s">
        <v>5430</v>
      </c>
      <c r="M936" s="2"/>
    </row>
    <row r="937" customFormat="false" ht="15" hidden="false" customHeight="false" outlineLevel="0" collapsed="false">
      <c r="A937" s="2" t="s">
        <v>5431</v>
      </c>
      <c r="B937" s="3" t="s">
        <v>5432</v>
      </c>
      <c r="C937" s="2"/>
      <c r="D937" s="2" t="s">
        <v>52</v>
      </c>
      <c r="E937" s="2" t="s">
        <v>91</v>
      </c>
      <c r="F937" s="2" t="s">
        <v>5433</v>
      </c>
      <c r="G937" s="2" t="s">
        <v>5434</v>
      </c>
      <c r="H937" s="2" t="s">
        <v>47</v>
      </c>
      <c r="I937" s="2" t="s">
        <v>63</v>
      </c>
      <c r="J937" s="2" t="s">
        <v>21</v>
      </c>
      <c r="K937" s="2" t="s">
        <v>22</v>
      </c>
      <c r="L937" s="2" t="s">
        <v>3732</v>
      </c>
      <c r="M937" s="2"/>
    </row>
    <row r="938" customFormat="false" ht="23.85" hidden="false" customHeight="false" outlineLevel="0" collapsed="false">
      <c r="A938" s="2" t="s">
        <v>5435</v>
      </c>
      <c r="B938" s="3" t="s">
        <v>5436</v>
      </c>
      <c r="C938" s="2" t="s">
        <v>5437</v>
      </c>
      <c r="D938" s="2" t="s">
        <v>106</v>
      </c>
      <c r="E938" s="2" t="s">
        <v>53</v>
      </c>
      <c r="F938" s="2" t="s">
        <v>5438</v>
      </c>
      <c r="G938" s="2" t="s">
        <v>5439</v>
      </c>
      <c r="H938" s="2" t="s">
        <v>879</v>
      </c>
      <c r="I938" s="2" t="s">
        <v>78</v>
      </c>
      <c r="J938" s="2" t="s">
        <v>71</v>
      </c>
      <c r="K938" s="2" t="s">
        <v>22</v>
      </c>
      <c r="L938" s="2" t="s">
        <v>5440</v>
      </c>
      <c r="M938" s="2"/>
    </row>
    <row r="939" customFormat="false" ht="23.85" hidden="false" customHeight="false" outlineLevel="0" collapsed="false">
      <c r="A939" s="2" t="s">
        <v>3925</v>
      </c>
      <c r="B939" s="3" t="s">
        <v>5441</v>
      </c>
      <c r="C939" s="2" t="s">
        <v>5442</v>
      </c>
      <c r="D939" s="2" t="s">
        <v>59</v>
      </c>
      <c r="E939" s="2" t="s">
        <v>1294</v>
      </c>
      <c r="F939" s="2" t="s">
        <v>5443</v>
      </c>
      <c r="G939" s="2" t="s">
        <v>5444</v>
      </c>
      <c r="H939" s="2" t="s">
        <v>1006</v>
      </c>
      <c r="I939" s="2" t="s">
        <v>508</v>
      </c>
      <c r="J939" s="2" t="s">
        <v>86</v>
      </c>
      <c r="K939" s="2" t="s">
        <v>87</v>
      </c>
      <c r="L939" s="2" t="s">
        <v>5445</v>
      </c>
      <c r="M939" s="2"/>
    </row>
    <row r="940" customFormat="false" ht="23.85" hidden="false" customHeight="false" outlineLevel="0" collapsed="false">
      <c r="A940" s="2" t="s">
        <v>5446</v>
      </c>
      <c r="B940" s="3" t="s">
        <v>5447</v>
      </c>
      <c r="C940" s="2" t="s">
        <v>5448</v>
      </c>
      <c r="D940" s="2" t="s">
        <v>59</v>
      </c>
      <c r="E940" s="2" t="s">
        <v>91</v>
      </c>
      <c r="F940" s="2" t="s">
        <v>5449</v>
      </c>
      <c r="G940" s="2" t="s">
        <v>5450</v>
      </c>
      <c r="H940" s="2" t="s">
        <v>543</v>
      </c>
      <c r="I940" s="2" t="s">
        <v>29</v>
      </c>
      <c r="J940" s="2" t="s">
        <v>71</v>
      </c>
      <c r="K940" s="2" t="s">
        <v>22</v>
      </c>
      <c r="L940" s="2" t="s">
        <v>5451</v>
      </c>
      <c r="M940" s="2" t="s">
        <v>5452</v>
      </c>
    </row>
    <row r="941" customFormat="false" ht="23.85" hidden="false" customHeight="false" outlineLevel="0" collapsed="false">
      <c r="A941" s="2" t="s">
        <v>5453</v>
      </c>
      <c r="B941" s="3" t="s">
        <v>5454</v>
      </c>
      <c r="C941" s="2" t="s">
        <v>5455</v>
      </c>
      <c r="D941" s="2" t="s">
        <v>251</v>
      </c>
      <c r="E941" s="2" t="s">
        <v>741</v>
      </c>
      <c r="F941" s="2" t="s">
        <v>5456</v>
      </c>
      <c r="G941" s="2" t="s">
        <v>5457</v>
      </c>
      <c r="H941" s="2" t="s">
        <v>306</v>
      </c>
      <c r="I941" s="2" t="s">
        <v>48</v>
      </c>
      <c r="J941" s="2" t="s">
        <v>21</v>
      </c>
      <c r="K941" s="2" t="s">
        <v>72</v>
      </c>
      <c r="L941" s="2" t="s">
        <v>5458</v>
      </c>
      <c r="M941" s="2"/>
    </row>
    <row r="942" customFormat="false" ht="15" hidden="false" customHeight="false" outlineLevel="0" collapsed="false">
      <c r="A942" s="2" t="s">
        <v>5459</v>
      </c>
      <c r="B942" s="3" t="s">
        <v>5460</v>
      </c>
      <c r="C942" s="2" t="s">
        <v>5461</v>
      </c>
      <c r="D942" s="2" t="s">
        <v>15</v>
      </c>
      <c r="E942" s="2" t="s">
        <v>312</v>
      </c>
      <c r="F942" s="2" t="s">
        <v>5462</v>
      </c>
      <c r="G942" s="2" t="s">
        <v>5463</v>
      </c>
      <c r="H942" s="2" t="s">
        <v>47</v>
      </c>
      <c r="I942" s="2" t="s">
        <v>48</v>
      </c>
      <c r="J942" s="2" t="s">
        <v>21</v>
      </c>
      <c r="K942" s="2" t="s">
        <v>22</v>
      </c>
      <c r="L942" s="2" t="s">
        <v>1477</v>
      </c>
      <c r="M942" s="2"/>
    </row>
    <row r="943" customFormat="false" ht="23.85" hidden="false" customHeight="false" outlineLevel="0" collapsed="false">
      <c r="A943" s="2" t="s">
        <v>5464</v>
      </c>
      <c r="B943" s="3" t="s">
        <v>5465</v>
      </c>
      <c r="C943" s="2"/>
      <c r="D943" s="2" t="s">
        <v>43</v>
      </c>
      <c r="E943" s="2" t="s">
        <v>53</v>
      </c>
      <c r="F943" s="2" t="s">
        <v>5466</v>
      </c>
      <c r="G943" s="2" t="s">
        <v>5467</v>
      </c>
      <c r="H943" s="2" t="s">
        <v>28</v>
      </c>
      <c r="I943" s="2" t="s">
        <v>151</v>
      </c>
      <c r="J943" s="2" t="s">
        <v>71</v>
      </c>
      <c r="K943" s="2" t="s">
        <v>22</v>
      </c>
      <c r="L943" s="2" t="s">
        <v>5468</v>
      </c>
      <c r="M943" s="2"/>
    </row>
    <row r="944" customFormat="false" ht="15" hidden="false" customHeight="false" outlineLevel="0" collapsed="false">
      <c r="A944" s="2" t="s">
        <v>1868</v>
      </c>
      <c r="B944" s="3" t="s">
        <v>5469</v>
      </c>
      <c r="C944" s="2"/>
      <c r="D944" s="2" t="s">
        <v>15</v>
      </c>
      <c r="E944" s="2" t="s">
        <v>1865</v>
      </c>
      <c r="F944" s="2" t="s">
        <v>5470</v>
      </c>
      <c r="G944" s="2" t="s">
        <v>5471</v>
      </c>
      <c r="H944" s="2" t="s">
        <v>47</v>
      </c>
      <c r="I944" s="2" t="s">
        <v>94</v>
      </c>
      <c r="J944" s="2" t="s">
        <v>86</v>
      </c>
      <c r="K944" s="2" t="s">
        <v>72</v>
      </c>
      <c r="L944" s="2" t="s">
        <v>5472</v>
      </c>
      <c r="M944" s="2"/>
    </row>
    <row r="945" customFormat="false" ht="15" hidden="false" customHeight="false" outlineLevel="0" collapsed="false">
      <c r="A945" s="2" t="s">
        <v>2163</v>
      </c>
      <c r="B945" s="3" t="s">
        <v>5473</v>
      </c>
      <c r="C945" s="2" t="s">
        <v>5474</v>
      </c>
      <c r="D945" s="2" t="s">
        <v>251</v>
      </c>
      <c r="E945" s="2" t="s">
        <v>251</v>
      </c>
      <c r="F945" s="2" t="s">
        <v>5475</v>
      </c>
      <c r="G945" s="2" t="s">
        <v>5476</v>
      </c>
      <c r="H945" s="2" t="s">
        <v>255</v>
      </c>
      <c r="I945" s="2" t="s">
        <v>48</v>
      </c>
      <c r="J945" s="2" t="s">
        <v>71</v>
      </c>
      <c r="K945" s="2" t="s">
        <v>72</v>
      </c>
      <c r="L945" s="2" t="s">
        <v>5477</v>
      </c>
      <c r="M945" s="2"/>
    </row>
    <row r="946" customFormat="false" ht="15" hidden="false" customHeight="false" outlineLevel="0" collapsed="false">
      <c r="A946" s="2" t="s">
        <v>5478</v>
      </c>
      <c r="B946" s="3" t="s">
        <v>5479</v>
      </c>
      <c r="C946" s="2" t="s">
        <v>5480</v>
      </c>
      <c r="D946" s="2" t="s">
        <v>251</v>
      </c>
      <c r="E946" s="2" t="s">
        <v>251</v>
      </c>
      <c r="F946" s="2" t="s">
        <v>5481</v>
      </c>
      <c r="G946" s="2" t="s">
        <v>5482</v>
      </c>
      <c r="H946" s="2" t="s">
        <v>255</v>
      </c>
      <c r="I946" s="2" t="s">
        <v>256</v>
      </c>
      <c r="J946" s="2" t="s">
        <v>21</v>
      </c>
      <c r="K946" s="2" t="s">
        <v>22</v>
      </c>
      <c r="L946" s="2" t="s">
        <v>2163</v>
      </c>
      <c r="M946" s="2"/>
    </row>
    <row r="947" customFormat="false" ht="15" hidden="false" customHeight="false" outlineLevel="0" collapsed="false">
      <c r="A947" s="2" t="s">
        <v>800</v>
      </c>
      <c r="B947" s="3" t="s">
        <v>5483</v>
      </c>
      <c r="C947" s="2"/>
      <c r="D947" s="2" t="s">
        <v>82</v>
      </c>
      <c r="E947" s="2" t="s">
        <v>796</v>
      </c>
      <c r="F947" s="2" t="s">
        <v>5484</v>
      </c>
      <c r="G947" s="2" t="s">
        <v>5485</v>
      </c>
      <c r="H947" s="2" t="s">
        <v>47</v>
      </c>
      <c r="I947" s="2" t="s">
        <v>799</v>
      </c>
      <c r="J947" s="2" t="s">
        <v>86</v>
      </c>
      <c r="K947" s="2" t="s">
        <v>72</v>
      </c>
      <c r="L947" s="2" t="s">
        <v>5486</v>
      </c>
      <c r="M947" s="2"/>
    </row>
    <row r="948" customFormat="false" ht="23.85" hidden="false" customHeight="false" outlineLevel="0" collapsed="false">
      <c r="A948" s="2" t="s">
        <v>5487</v>
      </c>
      <c r="B948" s="3" t="s">
        <v>5488</v>
      </c>
      <c r="C948" s="2"/>
      <c r="D948" s="2" t="s">
        <v>238</v>
      </c>
      <c r="E948" s="2" t="s">
        <v>16</v>
      </c>
      <c r="F948" s="2" t="s">
        <v>5489</v>
      </c>
      <c r="G948" s="2" t="s">
        <v>5490</v>
      </c>
      <c r="H948" s="2" t="s">
        <v>241</v>
      </c>
      <c r="I948" s="2" t="s">
        <v>48</v>
      </c>
      <c r="J948" s="2" t="s">
        <v>71</v>
      </c>
      <c r="K948" s="2" t="s">
        <v>22</v>
      </c>
      <c r="L948" s="2" t="s">
        <v>5491</v>
      </c>
      <c r="M948" s="2"/>
    </row>
    <row r="949" customFormat="false" ht="23.85" hidden="false" customHeight="false" outlineLevel="0" collapsed="false">
      <c r="A949" s="2" t="s">
        <v>5492</v>
      </c>
      <c r="B949" s="3" t="s">
        <v>5493</v>
      </c>
      <c r="C949" s="2" t="s">
        <v>5494</v>
      </c>
      <c r="D949" s="2" t="s">
        <v>43</v>
      </c>
      <c r="E949" s="2" t="s">
        <v>99</v>
      </c>
      <c r="F949" s="2" t="s">
        <v>5495</v>
      </c>
      <c r="G949" s="2" t="s">
        <v>5496</v>
      </c>
      <c r="H949" s="2" t="s">
        <v>452</v>
      </c>
      <c r="I949" s="2" t="s">
        <v>151</v>
      </c>
      <c r="J949" s="2" t="s">
        <v>21</v>
      </c>
      <c r="K949" s="2" t="s">
        <v>22</v>
      </c>
      <c r="L949" s="2" t="s">
        <v>5497</v>
      </c>
      <c r="M949" s="2"/>
    </row>
    <row r="950" customFormat="false" ht="23.85" hidden="false" customHeight="false" outlineLevel="0" collapsed="false">
      <c r="A950" s="2" t="s">
        <v>5498</v>
      </c>
      <c r="B950" s="3" t="s">
        <v>5499</v>
      </c>
      <c r="C950" s="2"/>
      <c r="D950" s="2" t="s">
        <v>52</v>
      </c>
      <c r="E950" s="2" t="s">
        <v>53</v>
      </c>
      <c r="F950" s="2" t="s">
        <v>5500</v>
      </c>
      <c r="G950" s="2" t="s">
        <v>5501</v>
      </c>
      <c r="H950" s="2" t="s">
        <v>47</v>
      </c>
      <c r="I950" s="2" t="s">
        <v>48</v>
      </c>
      <c r="J950" s="2" t="s">
        <v>21</v>
      </c>
      <c r="K950" s="2" t="s">
        <v>22</v>
      </c>
      <c r="L950" s="2" t="s">
        <v>1781</v>
      </c>
      <c r="M950" s="2" t="s">
        <v>5502</v>
      </c>
    </row>
    <row r="951" customFormat="false" ht="15" hidden="false" customHeight="false" outlineLevel="0" collapsed="false">
      <c r="A951" s="2" t="s">
        <v>5503</v>
      </c>
      <c r="B951" s="3" t="s">
        <v>5504</v>
      </c>
      <c r="C951" s="2" t="s">
        <v>5505</v>
      </c>
      <c r="D951" s="2" t="s">
        <v>106</v>
      </c>
      <c r="E951" s="2" t="s">
        <v>53</v>
      </c>
      <c r="F951" s="2" t="s">
        <v>5506</v>
      </c>
      <c r="G951" s="2" t="s">
        <v>5507</v>
      </c>
      <c r="H951" s="2" t="s">
        <v>110</v>
      </c>
      <c r="I951" s="2" t="s">
        <v>111</v>
      </c>
      <c r="J951" s="2" t="s">
        <v>21</v>
      </c>
      <c r="K951" s="2" t="s">
        <v>22</v>
      </c>
      <c r="L951" s="2" t="s">
        <v>5508</v>
      </c>
      <c r="M951" s="2"/>
    </row>
    <row r="952" customFormat="false" ht="23.85" hidden="false" customHeight="false" outlineLevel="0" collapsed="false">
      <c r="A952" s="2" t="s">
        <v>5509</v>
      </c>
      <c r="B952" s="3" t="s">
        <v>5510</v>
      </c>
      <c r="C952" s="2" t="s">
        <v>5511</v>
      </c>
      <c r="D952" s="2" t="s">
        <v>15</v>
      </c>
      <c r="E952" s="2" t="s">
        <v>684</v>
      </c>
      <c r="F952" s="2" t="s">
        <v>5512</v>
      </c>
      <c r="G952" s="2" t="s">
        <v>5513</v>
      </c>
      <c r="H952" s="2" t="s">
        <v>47</v>
      </c>
      <c r="I952" s="2" t="s">
        <v>182</v>
      </c>
      <c r="J952" s="2" t="s">
        <v>86</v>
      </c>
      <c r="K952" s="2" t="s">
        <v>87</v>
      </c>
      <c r="L952" s="2" t="s">
        <v>5514</v>
      </c>
      <c r="M952" s="2"/>
    </row>
    <row r="953" customFormat="false" ht="15" hidden="false" customHeight="false" outlineLevel="0" collapsed="false">
      <c r="A953" s="2" t="s">
        <v>5515</v>
      </c>
      <c r="B953" s="3" t="s">
        <v>5516</v>
      </c>
      <c r="C953" s="2"/>
      <c r="D953" s="2" t="s">
        <v>59</v>
      </c>
      <c r="E953" s="2" t="s">
        <v>216</v>
      </c>
      <c r="F953" s="2" t="s">
        <v>5517</v>
      </c>
      <c r="G953" s="2" t="s">
        <v>5518</v>
      </c>
      <c r="H953" s="2" t="s">
        <v>452</v>
      </c>
      <c r="I953" s="2" t="s">
        <v>63</v>
      </c>
      <c r="J953" s="2" t="s">
        <v>21</v>
      </c>
      <c r="K953" s="2" t="s">
        <v>22</v>
      </c>
      <c r="L953" s="2" t="s">
        <v>473</v>
      </c>
      <c r="M953" s="2"/>
    </row>
    <row r="954" customFormat="false" ht="23.85" hidden="false" customHeight="false" outlineLevel="0" collapsed="false">
      <c r="A954" s="2" t="s">
        <v>5519</v>
      </c>
      <c r="B954" s="3" t="s">
        <v>5520</v>
      </c>
      <c r="C954" s="2" t="s">
        <v>5521</v>
      </c>
      <c r="D954" s="2" t="s">
        <v>106</v>
      </c>
      <c r="E954" s="2" t="s">
        <v>53</v>
      </c>
      <c r="F954" s="2" t="s">
        <v>5522</v>
      </c>
      <c r="G954" s="2" t="s">
        <v>5523</v>
      </c>
      <c r="H954" s="2" t="s">
        <v>110</v>
      </c>
      <c r="I954" s="2" t="s">
        <v>29</v>
      </c>
      <c r="J954" s="2" t="s">
        <v>21</v>
      </c>
      <c r="K954" s="2" t="s">
        <v>22</v>
      </c>
      <c r="L954" s="2" t="s">
        <v>5524</v>
      </c>
      <c r="M954" s="2"/>
    </row>
    <row r="955" customFormat="false" ht="23.85" hidden="false" customHeight="false" outlineLevel="0" collapsed="false">
      <c r="A955" s="2" t="s">
        <v>5525</v>
      </c>
      <c r="B955" s="3" t="s">
        <v>5526</v>
      </c>
      <c r="C955" s="2"/>
      <c r="D955" s="2" t="s">
        <v>34</v>
      </c>
      <c r="E955" s="2" t="s">
        <v>266</v>
      </c>
      <c r="F955" s="2" t="s">
        <v>5527</v>
      </c>
      <c r="G955" s="2" t="s">
        <v>5528</v>
      </c>
      <c r="H955" s="2" t="s">
        <v>38</v>
      </c>
      <c r="I955" s="2" t="s">
        <v>20</v>
      </c>
      <c r="J955" s="2" t="s">
        <v>71</v>
      </c>
      <c r="K955" s="2" t="s">
        <v>72</v>
      </c>
      <c r="L955" s="2" t="s">
        <v>5529</v>
      </c>
      <c r="M955" s="2"/>
    </row>
    <row r="956" customFormat="false" ht="15" hidden="false" customHeight="false" outlineLevel="0" collapsed="false">
      <c r="A956" s="2" t="s">
        <v>5530</v>
      </c>
      <c r="B956" s="3" t="s">
        <v>5531</v>
      </c>
      <c r="C956" s="2" t="s">
        <v>5532</v>
      </c>
      <c r="D956" s="2" t="s">
        <v>82</v>
      </c>
      <c r="E956" s="2" t="s">
        <v>91</v>
      </c>
      <c r="F956" s="2" t="s">
        <v>5533</v>
      </c>
      <c r="G956" s="2" t="s">
        <v>5534</v>
      </c>
      <c r="H956" s="2" t="s">
        <v>675</v>
      </c>
      <c r="I956" s="2" t="s">
        <v>138</v>
      </c>
      <c r="J956" s="2" t="s">
        <v>71</v>
      </c>
      <c r="K956" s="2" t="s">
        <v>72</v>
      </c>
      <c r="L956" s="2" t="s">
        <v>5535</v>
      </c>
      <c r="M956" s="2"/>
    </row>
    <row r="957" customFormat="false" ht="15" hidden="false" customHeight="false" outlineLevel="0" collapsed="false">
      <c r="A957" s="2" t="s">
        <v>5536</v>
      </c>
      <c r="B957" s="3" t="s">
        <v>5537</v>
      </c>
      <c r="C957" s="2" t="s">
        <v>5538</v>
      </c>
      <c r="D957" s="2" t="s">
        <v>82</v>
      </c>
      <c r="E957" s="2" t="s">
        <v>535</v>
      </c>
      <c r="F957" s="2" t="s">
        <v>5539</v>
      </c>
      <c r="G957" s="2" t="s">
        <v>5540</v>
      </c>
      <c r="H957" s="2" t="s">
        <v>675</v>
      </c>
      <c r="I957" s="2" t="s">
        <v>29</v>
      </c>
      <c r="J957" s="2" t="s">
        <v>71</v>
      </c>
      <c r="K957" s="2" t="s">
        <v>72</v>
      </c>
      <c r="L957" s="2" t="s">
        <v>5541</v>
      </c>
      <c r="M957" s="2"/>
    </row>
    <row r="958" customFormat="false" ht="23.85" hidden="false" customHeight="false" outlineLevel="0" collapsed="false">
      <c r="A958" s="2" t="s">
        <v>5542</v>
      </c>
      <c r="B958" s="3" t="s">
        <v>5543</v>
      </c>
      <c r="C958" s="2"/>
      <c r="D958" s="2" t="s">
        <v>34</v>
      </c>
      <c r="E958" s="2" t="s">
        <v>53</v>
      </c>
      <c r="F958" s="2" t="s">
        <v>5544</v>
      </c>
      <c r="G958" s="2" t="s">
        <v>5545</v>
      </c>
      <c r="H958" s="2" t="s">
        <v>38</v>
      </c>
      <c r="I958" s="2" t="s">
        <v>182</v>
      </c>
      <c r="J958" s="2" t="s">
        <v>86</v>
      </c>
      <c r="K958" s="2" t="s">
        <v>87</v>
      </c>
      <c r="L958" s="2" t="s">
        <v>5546</v>
      </c>
      <c r="M958" s="2"/>
    </row>
    <row r="959" customFormat="false" ht="23.85" hidden="false" customHeight="false" outlineLevel="0" collapsed="false">
      <c r="A959" s="2" t="s">
        <v>5547</v>
      </c>
      <c r="B959" s="3" t="s">
        <v>34</v>
      </c>
      <c r="C959" s="2"/>
      <c r="D959" s="2" t="s">
        <v>34</v>
      </c>
      <c r="E959" s="2" t="s">
        <v>53</v>
      </c>
      <c r="F959" s="2" t="s">
        <v>5548</v>
      </c>
      <c r="G959" s="2" t="s">
        <v>5549</v>
      </c>
      <c r="H959" s="2" t="s">
        <v>38</v>
      </c>
      <c r="I959" s="2" t="s">
        <v>182</v>
      </c>
      <c r="J959" s="2" t="s">
        <v>86</v>
      </c>
      <c r="K959" s="2" t="s">
        <v>87</v>
      </c>
      <c r="L959" s="2" t="s">
        <v>5550</v>
      </c>
      <c r="M959" s="2"/>
    </row>
    <row r="960" customFormat="false" ht="23.85" hidden="false" customHeight="false" outlineLevel="0" collapsed="false">
      <c r="A960" s="2" t="s">
        <v>5551</v>
      </c>
      <c r="B960" s="3" t="s">
        <v>5552</v>
      </c>
      <c r="C960" s="2" t="s">
        <v>5553</v>
      </c>
      <c r="D960" s="2" t="s">
        <v>34</v>
      </c>
      <c r="E960" s="2" t="s">
        <v>53</v>
      </c>
      <c r="F960" s="2" t="s">
        <v>5554</v>
      </c>
      <c r="G960" s="2" t="s">
        <v>5555</v>
      </c>
      <c r="H960" s="2" t="s">
        <v>38</v>
      </c>
      <c r="I960" s="2" t="s">
        <v>78</v>
      </c>
      <c r="J960" s="2" t="s">
        <v>71</v>
      </c>
      <c r="K960" s="2" t="s">
        <v>72</v>
      </c>
      <c r="L960" s="2" t="s">
        <v>5556</v>
      </c>
      <c r="M960" s="2"/>
    </row>
    <row r="961" customFormat="false" ht="15" hidden="false" customHeight="false" outlineLevel="0" collapsed="false">
      <c r="A961" s="2" t="s">
        <v>5557</v>
      </c>
      <c r="B961" s="3" t="s">
        <v>5558</v>
      </c>
      <c r="C961" s="2" t="s">
        <v>5559</v>
      </c>
      <c r="D961" s="2" t="s">
        <v>106</v>
      </c>
      <c r="E961" s="2" t="s">
        <v>53</v>
      </c>
      <c r="F961" s="2" t="s">
        <v>5560</v>
      </c>
      <c r="G961" s="2" t="s">
        <v>5561</v>
      </c>
      <c r="H961" s="2"/>
      <c r="I961" s="2" t="s">
        <v>48</v>
      </c>
      <c r="J961" s="2" t="s">
        <v>21</v>
      </c>
      <c r="K961" s="2" t="s">
        <v>22</v>
      </c>
      <c r="L961" s="2" t="s">
        <v>5562</v>
      </c>
      <c r="M961" s="2"/>
    </row>
    <row r="962" customFormat="false" ht="23.85" hidden="false" customHeight="false" outlineLevel="0" collapsed="false">
      <c r="A962" s="2" t="s">
        <v>5563</v>
      </c>
      <c r="B962" s="3" t="s">
        <v>5564</v>
      </c>
      <c r="C962" s="2" t="s">
        <v>5565</v>
      </c>
      <c r="D962" s="2" t="s">
        <v>34</v>
      </c>
      <c r="E962" s="2" t="s">
        <v>53</v>
      </c>
      <c r="F962" s="2" t="s">
        <v>5566</v>
      </c>
      <c r="G962" s="2" t="s">
        <v>5567</v>
      </c>
      <c r="H962" s="2" t="s">
        <v>38</v>
      </c>
      <c r="I962" s="2" t="s">
        <v>78</v>
      </c>
      <c r="J962" s="2" t="s">
        <v>71</v>
      </c>
      <c r="K962" s="2" t="s">
        <v>72</v>
      </c>
      <c r="L962" s="2" t="s">
        <v>5568</v>
      </c>
      <c r="M962" s="2"/>
    </row>
    <row r="963" customFormat="false" ht="15" hidden="false" customHeight="false" outlineLevel="0" collapsed="false">
      <c r="A963" s="2" t="s">
        <v>5569</v>
      </c>
      <c r="B963" s="3" t="s">
        <v>5570</v>
      </c>
      <c r="C963" s="2" t="s">
        <v>5571</v>
      </c>
      <c r="D963" s="2" t="s">
        <v>106</v>
      </c>
      <c r="E963" s="2" t="s">
        <v>53</v>
      </c>
      <c r="F963" s="2" t="s">
        <v>5572</v>
      </c>
      <c r="G963" s="2" t="s">
        <v>5573</v>
      </c>
      <c r="H963" s="2" t="s">
        <v>110</v>
      </c>
      <c r="I963" s="2" t="s">
        <v>48</v>
      </c>
      <c r="J963" s="2" t="s">
        <v>71</v>
      </c>
      <c r="K963" s="2" t="s">
        <v>72</v>
      </c>
      <c r="L963" s="2" t="s">
        <v>5574</v>
      </c>
      <c r="M963" s="2"/>
    </row>
    <row r="964" customFormat="false" ht="23.85" hidden="false" customHeight="false" outlineLevel="0" collapsed="false">
      <c r="A964" s="2" t="s">
        <v>5575</v>
      </c>
      <c r="B964" s="3" t="s">
        <v>5576</v>
      </c>
      <c r="C964" s="2" t="s">
        <v>5577</v>
      </c>
      <c r="D964" s="2" t="s">
        <v>43</v>
      </c>
      <c r="E964" s="2" t="s">
        <v>53</v>
      </c>
      <c r="F964" s="2" t="s">
        <v>5578</v>
      </c>
      <c r="G964" s="2" t="s">
        <v>5579</v>
      </c>
      <c r="H964" s="2" t="s">
        <v>38</v>
      </c>
      <c r="I964" s="2" t="s">
        <v>78</v>
      </c>
      <c r="J964" s="2" t="s">
        <v>71</v>
      </c>
      <c r="K964" s="2" t="s">
        <v>72</v>
      </c>
      <c r="L964" s="2" t="s">
        <v>5580</v>
      </c>
      <c r="M964" s="2"/>
    </row>
    <row r="965" customFormat="false" ht="23.85" hidden="false" customHeight="false" outlineLevel="0" collapsed="false">
      <c r="A965" s="2" t="s">
        <v>5581</v>
      </c>
      <c r="B965" s="3" t="s">
        <v>5582</v>
      </c>
      <c r="C965" s="2"/>
      <c r="D965" s="2" t="s">
        <v>43</v>
      </c>
      <c r="E965" s="2" t="s">
        <v>53</v>
      </c>
      <c r="F965" s="2" t="s">
        <v>5583</v>
      </c>
      <c r="G965" s="2" t="s">
        <v>5584</v>
      </c>
      <c r="H965" s="2" t="s">
        <v>38</v>
      </c>
      <c r="I965" s="2" t="s">
        <v>78</v>
      </c>
      <c r="J965" s="2" t="s">
        <v>71</v>
      </c>
      <c r="K965" s="2" t="s">
        <v>22</v>
      </c>
      <c r="L965" s="2" t="s">
        <v>5585</v>
      </c>
      <c r="M965" s="2"/>
    </row>
    <row r="966" customFormat="false" ht="23.85" hidden="false" customHeight="false" outlineLevel="0" collapsed="false">
      <c r="A966" s="2" t="s">
        <v>5586</v>
      </c>
      <c r="B966" s="3" t="s">
        <v>4151</v>
      </c>
      <c r="C966" s="2" t="s">
        <v>5587</v>
      </c>
      <c r="D966" s="2" t="s">
        <v>251</v>
      </c>
      <c r="E966" s="2" t="s">
        <v>5052</v>
      </c>
      <c r="F966" s="2" t="s">
        <v>5588</v>
      </c>
      <c r="G966" s="2" t="s">
        <v>5589</v>
      </c>
      <c r="H966" s="2" t="s">
        <v>2151</v>
      </c>
      <c r="I966" s="2" t="s">
        <v>111</v>
      </c>
      <c r="J966" s="2" t="s">
        <v>21</v>
      </c>
      <c r="K966" s="2" t="s">
        <v>22</v>
      </c>
      <c r="L966" s="2" t="s">
        <v>4149</v>
      </c>
      <c r="M966" s="2"/>
    </row>
    <row r="967" customFormat="false" ht="23.85" hidden="false" customHeight="false" outlineLevel="0" collapsed="false">
      <c r="A967" s="2" t="s">
        <v>5590</v>
      </c>
      <c r="B967" s="3" t="s">
        <v>5591</v>
      </c>
      <c r="C967" s="2"/>
      <c r="D967" s="2" t="s">
        <v>106</v>
      </c>
      <c r="E967" s="2" t="s">
        <v>53</v>
      </c>
      <c r="F967" s="2" t="s">
        <v>5592</v>
      </c>
      <c r="G967" s="2" t="s">
        <v>5593</v>
      </c>
      <c r="H967" s="2" t="s">
        <v>110</v>
      </c>
      <c r="I967" s="2" t="s">
        <v>78</v>
      </c>
      <c r="J967" s="2" t="s">
        <v>71</v>
      </c>
      <c r="K967" s="2" t="s">
        <v>72</v>
      </c>
      <c r="L967" s="2" t="s">
        <v>5594</v>
      </c>
      <c r="M967" s="2"/>
    </row>
    <row r="968" customFormat="false" ht="15" hidden="false" customHeight="false" outlineLevel="0" collapsed="false">
      <c r="A968" s="2" t="s">
        <v>5595</v>
      </c>
      <c r="B968" s="3" t="s">
        <v>5596</v>
      </c>
      <c r="C968" s="2" t="s">
        <v>5597</v>
      </c>
      <c r="D968" s="2" t="s">
        <v>106</v>
      </c>
      <c r="E968" s="2" t="s">
        <v>53</v>
      </c>
      <c r="F968" s="2" t="s">
        <v>5598</v>
      </c>
      <c r="G968" s="2" t="s">
        <v>5599</v>
      </c>
      <c r="H968" s="2" t="s">
        <v>110</v>
      </c>
      <c r="I968" s="2" t="s">
        <v>111</v>
      </c>
      <c r="J968" s="2" t="s">
        <v>21</v>
      </c>
      <c r="K968" s="2" t="s">
        <v>22</v>
      </c>
      <c r="L968" s="2" t="s">
        <v>5600</v>
      </c>
      <c r="M968" s="2"/>
    </row>
    <row r="969" customFormat="false" ht="23.85" hidden="false" customHeight="false" outlineLevel="0" collapsed="false">
      <c r="A969" s="2" t="s">
        <v>5601</v>
      </c>
      <c r="B969" s="3" t="s">
        <v>5602</v>
      </c>
      <c r="C969" s="2" t="s">
        <v>5603</v>
      </c>
      <c r="D969" s="2" t="s">
        <v>15</v>
      </c>
      <c r="E969" s="2" t="s">
        <v>5069</v>
      </c>
      <c r="F969" s="2" t="s">
        <v>5604</v>
      </c>
      <c r="G969" s="2" t="s">
        <v>5605</v>
      </c>
      <c r="H969" s="2"/>
      <c r="I969" s="2" t="s">
        <v>94</v>
      </c>
      <c r="J969" s="2" t="s">
        <v>86</v>
      </c>
      <c r="K969" s="2" t="s">
        <v>22</v>
      </c>
      <c r="L969" s="2"/>
      <c r="M969" s="2" t="s">
        <v>5606</v>
      </c>
    </row>
    <row r="970" customFormat="false" ht="23.85" hidden="false" customHeight="false" outlineLevel="0" collapsed="false">
      <c r="A970" s="2" t="s">
        <v>5607</v>
      </c>
      <c r="B970" s="3" t="s">
        <v>5608</v>
      </c>
      <c r="C970" s="2"/>
      <c r="D970" s="2" t="s">
        <v>238</v>
      </c>
      <c r="E970" s="2" t="s">
        <v>53</v>
      </c>
      <c r="F970" s="2" t="s">
        <v>5609</v>
      </c>
      <c r="G970" s="2" t="s">
        <v>5610</v>
      </c>
      <c r="H970" s="2" t="s">
        <v>241</v>
      </c>
      <c r="I970" s="2" t="s">
        <v>78</v>
      </c>
      <c r="J970" s="2" t="s">
        <v>71</v>
      </c>
      <c r="K970" s="2" t="s">
        <v>72</v>
      </c>
      <c r="L970" s="2" t="s">
        <v>5611</v>
      </c>
      <c r="M970" s="2" t="s">
        <v>5612</v>
      </c>
    </row>
    <row r="971" customFormat="false" ht="23.85" hidden="false" customHeight="false" outlineLevel="0" collapsed="false">
      <c r="A971" s="2" t="s">
        <v>5613</v>
      </c>
      <c r="B971" s="3" t="s">
        <v>5614</v>
      </c>
      <c r="C971" s="2"/>
      <c r="D971" s="2" t="s">
        <v>238</v>
      </c>
      <c r="E971" s="2" t="s">
        <v>53</v>
      </c>
      <c r="F971" s="2" t="s">
        <v>5615</v>
      </c>
      <c r="G971" s="2" t="s">
        <v>5616</v>
      </c>
      <c r="H971" s="2" t="s">
        <v>241</v>
      </c>
      <c r="I971" s="2" t="s">
        <v>78</v>
      </c>
      <c r="J971" s="2" t="s">
        <v>21</v>
      </c>
      <c r="K971" s="2" t="s">
        <v>22</v>
      </c>
      <c r="L971" s="2" t="s">
        <v>5617</v>
      </c>
      <c r="M971" s="2" t="s">
        <v>5618</v>
      </c>
    </row>
    <row r="972" customFormat="false" ht="23.85" hidden="false" customHeight="false" outlineLevel="0" collapsed="false">
      <c r="A972" s="2" t="s">
        <v>5619</v>
      </c>
      <c r="B972" s="3" t="s">
        <v>5620</v>
      </c>
      <c r="C972" s="2"/>
      <c r="D972" s="2" t="s">
        <v>238</v>
      </c>
      <c r="E972" s="2" t="s">
        <v>53</v>
      </c>
      <c r="F972" s="2" t="s">
        <v>5621</v>
      </c>
      <c r="G972" s="2" t="s">
        <v>5622</v>
      </c>
      <c r="H972" s="2" t="s">
        <v>241</v>
      </c>
      <c r="I972" s="2" t="s">
        <v>78</v>
      </c>
      <c r="J972" s="2" t="s">
        <v>71</v>
      </c>
      <c r="K972" s="2" t="s">
        <v>22</v>
      </c>
      <c r="L972" s="2" t="s">
        <v>5623</v>
      </c>
      <c r="M972" s="2"/>
    </row>
    <row r="973" customFormat="false" ht="23.85" hidden="false" customHeight="false" outlineLevel="0" collapsed="false">
      <c r="A973" s="2" t="s">
        <v>5624</v>
      </c>
      <c r="B973" s="3" t="s">
        <v>5625</v>
      </c>
      <c r="C973" s="2"/>
      <c r="D973" s="2" t="s">
        <v>52</v>
      </c>
      <c r="E973" s="2" t="s">
        <v>53</v>
      </c>
      <c r="F973" s="2" t="s">
        <v>5626</v>
      </c>
      <c r="G973" s="2" t="s">
        <v>5627</v>
      </c>
      <c r="H973" s="2"/>
      <c r="I973" s="2" t="s">
        <v>63</v>
      </c>
      <c r="J973" s="2" t="s">
        <v>21</v>
      </c>
      <c r="K973" s="2" t="s">
        <v>22</v>
      </c>
      <c r="L973" s="2" t="s">
        <v>355</v>
      </c>
      <c r="M973" s="2"/>
    </row>
    <row r="974" customFormat="false" ht="23.85" hidden="false" customHeight="false" outlineLevel="0" collapsed="false">
      <c r="A974" s="2" t="s">
        <v>5535</v>
      </c>
      <c r="B974" s="3" t="s">
        <v>5628</v>
      </c>
      <c r="C974" s="2" t="s">
        <v>5629</v>
      </c>
      <c r="D974" s="2" t="s">
        <v>82</v>
      </c>
      <c r="E974" s="2" t="s">
        <v>91</v>
      </c>
      <c r="F974" s="2" t="s">
        <v>5630</v>
      </c>
      <c r="G974" s="2" t="s">
        <v>5631</v>
      </c>
      <c r="H974" s="2" t="s">
        <v>675</v>
      </c>
      <c r="I974" s="2" t="s">
        <v>138</v>
      </c>
      <c r="J974" s="2" t="s">
        <v>86</v>
      </c>
      <c r="K974" s="2" t="s">
        <v>87</v>
      </c>
      <c r="L974" s="2" t="s">
        <v>5530</v>
      </c>
      <c r="M974" s="2" t="s">
        <v>5632</v>
      </c>
    </row>
    <row r="975" customFormat="false" ht="23.85" hidden="false" customHeight="false" outlineLevel="0" collapsed="false">
      <c r="A975" s="2" t="s">
        <v>5633</v>
      </c>
      <c r="B975" s="3" t="s">
        <v>5634</v>
      </c>
      <c r="C975" s="2" t="s">
        <v>5635</v>
      </c>
      <c r="D975" s="2" t="s">
        <v>15</v>
      </c>
      <c r="E975" s="2" t="s">
        <v>16</v>
      </c>
      <c r="F975" s="2" t="s">
        <v>5636</v>
      </c>
      <c r="G975" s="2" t="s">
        <v>5637</v>
      </c>
      <c r="H975" s="2" t="s">
        <v>47</v>
      </c>
      <c r="I975" s="2" t="s">
        <v>182</v>
      </c>
      <c r="J975" s="2" t="s">
        <v>71</v>
      </c>
      <c r="K975" s="2" t="s">
        <v>72</v>
      </c>
      <c r="L975" s="2" t="s">
        <v>5638</v>
      </c>
      <c r="M975" s="2"/>
    </row>
    <row r="976" customFormat="false" ht="23.85" hidden="false" customHeight="false" outlineLevel="0" collapsed="false">
      <c r="A976" s="2" t="s">
        <v>5357</v>
      </c>
      <c r="B976" s="3" t="s">
        <v>5639</v>
      </c>
      <c r="C976" s="2" t="s">
        <v>5640</v>
      </c>
      <c r="D976" s="2" t="s">
        <v>34</v>
      </c>
      <c r="E976" s="2" t="s">
        <v>91</v>
      </c>
      <c r="F976" s="2" t="s">
        <v>5641</v>
      </c>
      <c r="G976" s="2" t="s">
        <v>5642</v>
      </c>
      <c r="H976" s="2" t="s">
        <v>288</v>
      </c>
      <c r="I976" s="2" t="s">
        <v>182</v>
      </c>
      <c r="J976" s="2" t="s">
        <v>71</v>
      </c>
      <c r="K976" s="2" t="s">
        <v>72</v>
      </c>
      <c r="L976" s="2" t="s">
        <v>5643</v>
      </c>
      <c r="M976" s="2"/>
    </row>
    <row r="977" customFormat="false" ht="15" hidden="false" customHeight="false" outlineLevel="0" collapsed="false">
      <c r="A977" s="2" t="s">
        <v>5644</v>
      </c>
      <c r="B977" s="3" t="s">
        <v>5645</v>
      </c>
      <c r="C977" s="2"/>
      <c r="D977" s="2" t="s">
        <v>238</v>
      </c>
      <c r="E977" s="2" t="s">
        <v>53</v>
      </c>
      <c r="F977" s="2" t="s">
        <v>5646</v>
      </c>
      <c r="G977" s="2" t="s">
        <v>5647</v>
      </c>
      <c r="H977" s="2" t="s">
        <v>241</v>
      </c>
      <c r="I977" s="2" t="s">
        <v>48</v>
      </c>
      <c r="J977" s="2" t="s">
        <v>21</v>
      </c>
      <c r="K977" s="2" t="s">
        <v>22</v>
      </c>
      <c r="L977" s="2" t="s">
        <v>5648</v>
      </c>
      <c r="M977" s="2"/>
    </row>
    <row r="978" customFormat="false" ht="23.85" hidden="false" customHeight="false" outlineLevel="0" collapsed="false">
      <c r="A978" s="2" t="s">
        <v>5649</v>
      </c>
      <c r="B978" s="3" t="s">
        <v>5650</v>
      </c>
      <c r="C978" s="2" t="s">
        <v>5651</v>
      </c>
      <c r="D978" s="2" t="s">
        <v>15</v>
      </c>
      <c r="E978" s="2" t="s">
        <v>1346</v>
      </c>
      <c r="F978" s="2" t="s">
        <v>5652</v>
      </c>
      <c r="G978" s="2" t="s">
        <v>5653</v>
      </c>
      <c r="H978" s="2" t="s">
        <v>47</v>
      </c>
      <c r="I978" s="2" t="s">
        <v>63</v>
      </c>
      <c r="J978" s="2" t="s">
        <v>21</v>
      </c>
      <c r="K978" s="2" t="s">
        <v>22</v>
      </c>
      <c r="L978" s="2" t="s">
        <v>5654</v>
      </c>
      <c r="M978" s="2"/>
    </row>
    <row r="979" customFormat="false" ht="23.85" hidden="false" customHeight="false" outlineLevel="0" collapsed="false">
      <c r="A979" s="2" t="s">
        <v>5655</v>
      </c>
      <c r="B979" s="3" t="s">
        <v>5656</v>
      </c>
      <c r="C979" s="2" t="s">
        <v>5657</v>
      </c>
      <c r="D979" s="2" t="s">
        <v>15</v>
      </c>
      <c r="E979" s="2" t="s">
        <v>99</v>
      </c>
      <c r="F979" s="2" t="s">
        <v>5658</v>
      </c>
      <c r="G979" s="2" t="s">
        <v>5659</v>
      </c>
      <c r="H979" s="2" t="s">
        <v>372</v>
      </c>
      <c r="I979" s="2" t="s">
        <v>29</v>
      </c>
      <c r="J979" s="2" t="s">
        <v>21</v>
      </c>
      <c r="K979" s="2" t="s">
        <v>22</v>
      </c>
      <c r="L979" s="2" t="s">
        <v>5660</v>
      </c>
      <c r="M979" s="2"/>
    </row>
    <row r="980" customFormat="false" ht="15" hidden="false" customHeight="false" outlineLevel="0" collapsed="false">
      <c r="A980" s="2" t="s">
        <v>5661</v>
      </c>
      <c r="B980" s="3" t="s">
        <v>5662</v>
      </c>
      <c r="C980" s="2" t="s">
        <v>5663</v>
      </c>
      <c r="D980" s="2" t="s">
        <v>15</v>
      </c>
      <c r="E980" s="2" t="s">
        <v>99</v>
      </c>
      <c r="F980" s="2" t="s">
        <v>5664</v>
      </c>
      <c r="G980" s="2" t="s">
        <v>5665</v>
      </c>
      <c r="H980" s="2" t="s">
        <v>543</v>
      </c>
      <c r="I980" s="2" t="s">
        <v>29</v>
      </c>
      <c r="J980" s="2" t="s">
        <v>21</v>
      </c>
      <c r="K980" s="2" t="s">
        <v>22</v>
      </c>
      <c r="L980" s="2" t="s">
        <v>5666</v>
      </c>
      <c r="M980" s="2"/>
    </row>
    <row r="981" customFormat="false" ht="23.85" hidden="false" customHeight="false" outlineLevel="0" collapsed="false">
      <c r="A981" s="2" t="s">
        <v>699</v>
      </c>
      <c r="B981" s="3" t="s">
        <v>5667</v>
      </c>
      <c r="C981" s="2" t="s">
        <v>5499</v>
      </c>
      <c r="D981" s="2" t="s">
        <v>179</v>
      </c>
      <c r="E981" s="2" t="s">
        <v>53</v>
      </c>
      <c r="F981" s="2" t="s">
        <v>5668</v>
      </c>
      <c r="G981" s="2" t="s">
        <v>5669</v>
      </c>
      <c r="H981" s="2" t="s">
        <v>624</v>
      </c>
      <c r="I981" s="2" t="s">
        <v>20</v>
      </c>
      <c r="J981" s="2" t="s">
        <v>86</v>
      </c>
      <c r="K981" s="2" t="s">
        <v>72</v>
      </c>
      <c r="L981" s="2" t="s">
        <v>5670</v>
      </c>
      <c r="M981" s="2"/>
    </row>
    <row r="982" customFormat="false" ht="23.85" hidden="false" customHeight="false" outlineLevel="0" collapsed="false">
      <c r="A982" s="2" t="s">
        <v>5671</v>
      </c>
      <c r="B982" s="3" t="s">
        <v>5672</v>
      </c>
      <c r="C982" s="2" t="s">
        <v>5673</v>
      </c>
      <c r="D982" s="2" t="s">
        <v>82</v>
      </c>
      <c r="E982" s="2" t="s">
        <v>266</v>
      </c>
      <c r="F982" s="2" t="s">
        <v>5674</v>
      </c>
      <c r="G982" s="2" t="s">
        <v>5675</v>
      </c>
      <c r="H982" s="2" t="s">
        <v>47</v>
      </c>
      <c r="I982" s="2" t="s">
        <v>85</v>
      </c>
      <c r="J982" s="2" t="s">
        <v>71</v>
      </c>
      <c r="K982" s="2" t="s">
        <v>72</v>
      </c>
      <c r="L982" s="2" t="s">
        <v>5676</v>
      </c>
      <c r="M982" s="2"/>
    </row>
    <row r="983" customFormat="false" ht="15" hidden="false" customHeight="false" outlineLevel="0" collapsed="false">
      <c r="A983" s="2" t="s">
        <v>5677</v>
      </c>
      <c r="B983" s="3" t="s">
        <v>5678</v>
      </c>
      <c r="C983" s="2"/>
      <c r="D983" s="2" t="s">
        <v>15</v>
      </c>
      <c r="E983" s="2" t="s">
        <v>99</v>
      </c>
      <c r="F983" s="2" t="s">
        <v>5679</v>
      </c>
      <c r="G983" s="2" t="s">
        <v>5680</v>
      </c>
      <c r="H983" s="2"/>
      <c r="I983" s="2" t="s">
        <v>111</v>
      </c>
      <c r="J983" s="2" t="s">
        <v>21</v>
      </c>
      <c r="K983" s="2" t="s">
        <v>22</v>
      </c>
      <c r="L983" s="2" t="s">
        <v>5681</v>
      </c>
      <c r="M983" s="2"/>
    </row>
    <row r="984" customFormat="false" ht="23.85" hidden="false" customHeight="false" outlineLevel="0" collapsed="false">
      <c r="A984" s="2" t="s">
        <v>5682</v>
      </c>
      <c r="B984" s="3" t="s">
        <v>5683</v>
      </c>
      <c r="C984" s="2"/>
      <c r="D984" s="2" t="s">
        <v>82</v>
      </c>
      <c r="E984" s="2" t="s">
        <v>5684</v>
      </c>
      <c r="F984" s="2" t="s">
        <v>5685</v>
      </c>
      <c r="G984" s="2" t="s">
        <v>5686</v>
      </c>
      <c r="H984" s="2" t="s">
        <v>47</v>
      </c>
      <c r="I984" s="2" t="s">
        <v>48</v>
      </c>
      <c r="J984" s="2" t="s">
        <v>71</v>
      </c>
      <c r="K984" s="2" t="s">
        <v>22</v>
      </c>
      <c r="L984" s="2" t="s">
        <v>5687</v>
      </c>
      <c r="M984" s="2" t="s">
        <v>5688</v>
      </c>
    </row>
    <row r="985" customFormat="false" ht="23.85" hidden="false" customHeight="false" outlineLevel="0" collapsed="false">
      <c r="A985" s="2" t="s">
        <v>2563</v>
      </c>
      <c r="B985" s="3" t="s">
        <v>5689</v>
      </c>
      <c r="C985" s="2" t="s">
        <v>5690</v>
      </c>
      <c r="D985" s="2" t="s">
        <v>15</v>
      </c>
      <c r="E985" s="2" t="s">
        <v>16</v>
      </c>
      <c r="F985" s="2" t="s">
        <v>5691</v>
      </c>
      <c r="G985" s="2" t="s">
        <v>5692</v>
      </c>
      <c r="H985" s="2" t="s">
        <v>47</v>
      </c>
      <c r="I985" s="2" t="s">
        <v>20</v>
      </c>
      <c r="J985" s="2" t="s">
        <v>21</v>
      </c>
      <c r="K985" s="2" t="s">
        <v>72</v>
      </c>
      <c r="L985" s="2" t="s">
        <v>5693</v>
      </c>
      <c r="M985" s="2" t="s">
        <v>5694</v>
      </c>
    </row>
    <row r="986" customFormat="false" ht="23.85" hidden="false" customHeight="false" outlineLevel="0" collapsed="false">
      <c r="A986" s="2" t="s">
        <v>5695</v>
      </c>
      <c r="B986" s="3" t="s">
        <v>5696</v>
      </c>
      <c r="C986" s="2"/>
      <c r="D986" s="2" t="s">
        <v>15</v>
      </c>
      <c r="E986" s="2" t="s">
        <v>16</v>
      </c>
      <c r="F986" s="2" t="s">
        <v>5697</v>
      </c>
      <c r="G986" s="2" t="s">
        <v>5698</v>
      </c>
      <c r="H986" s="2" t="s">
        <v>47</v>
      </c>
      <c r="I986" s="2" t="s">
        <v>20</v>
      </c>
      <c r="J986" s="2" t="s">
        <v>21</v>
      </c>
      <c r="K986" s="2" t="s">
        <v>22</v>
      </c>
      <c r="L986" s="2" t="s">
        <v>5699</v>
      </c>
      <c r="M986" s="2" t="s">
        <v>5700</v>
      </c>
    </row>
    <row r="987" customFormat="false" ht="23.85" hidden="false" customHeight="false" outlineLevel="0" collapsed="false">
      <c r="A987" s="2" t="s">
        <v>5701</v>
      </c>
      <c r="B987" s="3" t="s">
        <v>5702</v>
      </c>
      <c r="C987" s="2" t="s">
        <v>5703</v>
      </c>
      <c r="D987" s="2" t="s">
        <v>15</v>
      </c>
      <c r="E987" s="2" t="s">
        <v>16</v>
      </c>
      <c r="F987" s="2" t="s">
        <v>5704</v>
      </c>
      <c r="G987" s="2" t="s">
        <v>5705</v>
      </c>
      <c r="H987" s="2" t="s">
        <v>47</v>
      </c>
      <c r="I987" s="2" t="s">
        <v>20</v>
      </c>
      <c r="J987" s="2" t="s">
        <v>21</v>
      </c>
      <c r="K987" s="2" t="s">
        <v>72</v>
      </c>
      <c r="L987" s="2" t="s">
        <v>5706</v>
      </c>
      <c r="M987" s="2" t="s">
        <v>5707</v>
      </c>
    </row>
    <row r="988" customFormat="false" ht="23.85" hidden="false" customHeight="false" outlineLevel="0" collapsed="false">
      <c r="A988" s="2" t="s">
        <v>5708</v>
      </c>
      <c r="B988" s="3" t="s">
        <v>5709</v>
      </c>
      <c r="C988" s="2" t="s">
        <v>5710</v>
      </c>
      <c r="D988" s="2" t="s">
        <v>34</v>
      </c>
      <c r="E988" s="2" t="s">
        <v>91</v>
      </c>
      <c r="F988" s="2" t="s">
        <v>5711</v>
      </c>
      <c r="G988" s="2" t="s">
        <v>5712</v>
      </c>
      <c r="H988" s="2" t="s">
        <v>288</v>
      </c>
      <c r="I988" s="2" t="s">
        <v>29</v>
      </c>
      <c r="J988" s="2" t="s">
        <v>21</v>
      </c>
      <c r="K988" s="2" t="s">
        <v>22</v>
      </c>
      <c r="L988" s="2" t="s">
        <v>5713</v>
      </c>
      <c r="M988" s="2" t="s">
        <v>5714</v>
      </c>
    </row>
    <row r="989" customFormat="false" ht="15" hidden="false" customHeight="false" outlineLevel="0" collapsed="false">
      <c r="A989" s="2" t="s">
        <v>5715</v>
      </c>
      <c r="B989" s="3" t="s">
        <v>5716</v>
      </c>
      <c r="C989" s="2"/>
      <c r="D989" s="2" t="s">
        <v>15</v>
      </c>
      <c r="E989" s="2" t="s">
        <v>16</v>
      </c>
      <c r="F989" s="2" t="s">
        <v>5717</v>
      </c>
      <c r="G989" s="2" t="s">
        <v>5718</v>
      </c>
      <c r="H989" s="2"/>
      <c r="I989" s="2" t="s">
        <v>85</v>
      </c>
      <c r="J989" s="2" t="s">
        <v>21</v>
      </c>
      <c r="K989" s="2" t="s">
        <v>22</v>
      </c>
      <c r="L989" s="2" t="s">
        <v>3138</v>
      </c>
      <c r="M989" s="2"/>
    </row>
    <row r="990" customFormat="false" ht="15" hidden="false" customHeight="false" outlineLevel="0" collapsed="false">
      <c r="A990" s="2" t="s">
        <v>4748</v>
      </c>
      <c r="B990" s="3" t="s">
        <v>5719</v>
      </c>
      <c r="C990" s="2"/>
      <c r="D990" s="2" t="s">
        <v>52</v>
      </c>
      <c r="E990" s="2" t="s">
        <v>684</v>
      </c>
      <c r="F990" s="2" t="s">
        <v>5720</v>
      </c>
      <c r="G990" s="2" t="s">
        <v>5721</v>
      </c>
      <c r="H990" s="2" t="s">
        <v>452</v>
      </c>
      <c r="I990" s="2" t="s">
        <v>63</v>
      </c>
      <c r="J990" s="2" t="s">
        <v>21</v>
      </c>
      <c r="K990" s="2" t="s">
        <v>22</v>
      </c>
      <c r="L990" s="2" t="s">
        <v>5722</v>
      </c>
      <c r="M990" s="2"/>
    </row>
    <row r="991" customFormat="false" ht="15" hidden="false" customHeight="false" outlineLevel="0" collapsed="false">
      <c r="A991" s="2" t="s">
        <v>5723</v>
      </c>
      <c r="B991" s="3" t="s">
        <v>5724</v>
      </c>
      <c r="C991" s="2" t="s">
        <v>5725</v>
      </c>
      <c r="D991" s="2" t="s">
        <v>43</v>
      </c>
      <c r="E991" s="2" t="s">
        <v>91</v>
      </c>
      <c r="F991" s="2" t="s">
        <v>5726</v>
      </c>
      <c r="G991" s="2" t="s">
        <v>5727</v>
      </c>
      <c r="H991" s="2" t="s">
        <v>3017</v>
      </c>
      <c r="I991" s="2" t="s">
        <v>29</v>
      </c>
      <c r="J991" s="2" t="s">
        <v>86</v>
      </c>
      <c r="K991" s="2" t="s">
        <v>72</v>
      </c>
      <c r="L991" s="2" t="s">
        <v>5708</v>
      </c>
      <c r="M991" s="2"/>
    </row>
    <row r="992" customFormat="false" ht="15" hidden="false" customHeight="false" outlineLevel="0" collapsed="false">
      <c r="A992" s="2" t="s">
        <v>5728</v>
      </c>
      <c r="B992" s="3" t="s">
        <v>5729</v>
      </c>
      <c r="C992" s="2"/>
      <c r="D992" s="2" t="s">
        <v>15</v>
      </c>
      <c r="E992" s="2" t="s">
        <v>99</v>
      </c>
      <c r="F992" s="2" t="s">
        <v>5730</v>
      </c>
      <c r="G992" s="2" t="s">
        <v>5731</v>
      </c>
      <c r="H992" s="2" t="s">
        <v>47</v>
      </c>
      <c r="I992" s="2" t="s">
        <v>799</v>
      </c>
      <c r="J992" s="2" t="s">
        <v>86</v>
      </c>
      <c r="K992" s="2" t="s">
        <v>72</v>
      </c>
      <c r="L992" s="2" t="s">
        <v>1628</v>
      </c>
      <c r="M992" s="2"/>
    </row>
    <row r="993" customFormat="false" ht="15" hidden="false" customHeight="false" outlineLevel="0" collapsed="false">
      <c r="A993" s="2" t="s">
        <v>5732</v>
      </c>
      <c r="B993" s="3" t="s">
        <v>5733</v>
      </c>
      <c r="C993" s="2"/>
      <c r="D993" s="2" t="s">
        <v>223</v>
      </c>
      <c r="E993" s="2" t="s">
        <v>53</v>
      </c>
      <c r="F993" s="2" t="s">
        <v>5734</v>
      </c>
      <c r="G993" s="2" t="s">
        <v>5735</v>
      </c>
      <c r="H993" s="2" t="s">
        <v>47</v>
      </c>
      <c r="I993" s="2" t="s">
        <v>63</v>
      </c>
      <c r="J993" s="2" t="s">
        <v>71</v>
      </c>
      <c r="K993" s="2" t="s">
        <v>22</v>
      </c>
      <c r="L993" s="2" t="s">
        <v>5736</v>
      </c>
      <c r="M993" s="2"/>
    </row>
    <row r="994" customFormat="false" ht="23.85" hidden="false" customHeight="false" outlineLevel="0" collapsed="false">
      <c r="A994" s="2" t="s">
        <v>5737</v>
      </c>
      <c r="B994" s="3" t="s">
        <v>5738</v>
      </c>
      <c r="C994" s="2"/>
      <c r="D994" s="2" t="s">
        <v>223</v>
      </c>
      <c r="E994" s="2" t="s">
        <v>53</v>
      </c>
      <c r="F994" s="2" t="s">
        <v>5739</v>
      </c>
      <c r="G994" s="2" t="s">
        <v>5740</v>
      </c>
      <c r="H994" s="2" t="s">
        <v>47</v>
      </c>
      <c r="I994" s="2" t="s">
        <v>63</v>
      </c>
      <c r="J994" s="2" t="s">
        <v>21</v>
      </c>
      <c r="K994" s="2" t="s">
        <v>22</v>
      </c>
      <c r="L994" s="2" t="s">
        <v>5741</v>
      </c>
      <c r="M994" s="2"/>
    </row>
    <row r="995" customFormat="false" ht="23.85" hidden="false" customHeight="false" outlineLevel="0" collapsed="false">
      <c r="A995" s="2" t="s">
        <v>5742</v>
      </c>
      <c r="B995" s="3" t="s">
        <v>5743</v>
      </c>
      <c r="C995" s="2" t="s">
        <v>1854</v>
      </c>
      <c r="D995" s="2" t="s">
        <v>82</v>
      </c>
      <c r="E995" s="2" t="s">
        <v>5744</v>
      </c>
      <c r="F995" s="2" t="s">
        <v>5745</v>
      </c>
      <c r="G995" s="2" t="s">
        <v>5746</v>
      </c>
      <c r="H995" s="2" t="s">
        <v>47</v>
      </c>
      <c r="I995" s="2" t="s">
        <v>20</v>
      </c>
      <c r="J995" s="2" t="s">
        <v>86</v>
      </c>
      <c r="K995" s="2" t="s">
        <v>87</v>
      </c>
      <c r="L995" s="2" t="s">
        <v>630</v>
      </c>
      <c r="M995" s="2"/>
    </row>
    <row r="996" customFormat="false" ht="23.85" hidden="false" customHeight="false" outlineLevel="0" collapsed="false">
      <c r="A996" s="2" t="s">
        <v>1971</v>
      </c>
      <c r="B996" s="3" t="s">
        <v>5747</v>
      </c>
      <c r="C996" s="2"/>
      <c r="D996" s="2" t="s">
        <v>52</v>
      </c>
      <c r="E996" s="2" t="s">
        <v>53</v>
      </c>
      <c r="F996" s="2" t="s">
        <v>5748</v>
      </c>
      <c r="G996" s="2" t="s">
        <v>5749</v>
      </c>
      <c r="H996" s="2" t="s">
        <v>47</v>
      </c>
      <c r="I996" s="2" t="s">
        <v>63</v>
      </c>
      <c r="J996" s="2" t="s">
        <v>21</v>
      </c>
      <c r="K996" s="2" t="s">
        <v>22</v>
      </c>
      <c r="L996" s="2" t="s">
        <v>1967</v>
      </c>
      <c r="M996" s="2"/>
    </row>
    <row r="997" customFormat="false" ht="15" hidden="false" customHeight="false" outlineLevel="0" collapsed="false">
      <c r="A997" s="2" t="s">
        <v>5750</v>
      </c>
      <c r="B997" s="3" t="s">
        <v>5751</v>
      </c>
      <c r="C997" s="2"/>
      <c r="D997" s="2" t="s">
        <v>15</v>
      </c>
      <c r="E997" s="2" t="s">
        <v>116</v>
      </c>
      <c r="F997" s="2" t="s">
        <v>5752</v>
      </c>
      <c r="G997" s="2" t="s">
        <v>5753</v>
      </c>
      <c r="H997" s="2" t="s">
        <v>47</v>
      </c>
      <c r="I997" s="2" t="s">
        <v>85</v>
      </c>
      <c r="J997" s="2" t="s">
        <v>71</v>
      </c>
      <c r="K997" s="2" t="s">
        <v>72</v>
      </c>
      <c r="L997" s="2" t="s">
        <v>5754</v>
      </c>
      <c r="M997" s="2"/>
    </row>
    <row r="998" customFormat="false" ht="15" hidden="false" customHeight="false" outlineLevel="0" collapsed="false">
      <c r="A998" s="2" t="s">
        <v>5755</v>
      </c>
      <c r="B998" s="3" t="s">
        <v>5756</v>
      </c>
      <c r="C998" s="2"/>
      <c r="D998" s="2" t="s">
        <v>82</v>
      </c>
      <c r="E998" s="2" t="s">
        <v>208</v>
      </c>
      <c r="F998" s="2" t="s">
        <v>5757</v>
      </c>
      <c r="G998" s="2" t="s">
        <v>5758</v>
      </c>
      <c r="H998" s="2" t="s">
        <v>47</v>
      </c>
      <c r="I998" s="2" t="s">
        <v>48</v>
      </c>
      <c r="J998" s="2" t="s">
        <v>21</v>
      </c>
      <c r="K998" s="2" t="s">
        <v>72</v>
      </c>
      <c r="L998" s="2" t="s">
        <v>5759</v>
      </c>
      <c r="M998" s="2"/>
    </row>
    <row r="999" customFormat="false" ht="15" hidden="false" customHeight="false" outlineLevel="0" collapsed="false">
      <c r="A999" s="2" t="s">
        <v>5760</v>
      </c>
      <c r="B999" s="3" t="s">
        <v>5761</v>
      </c>
      <c r="C999" s="2"/>
      <c r="D999" s="2" t="s">
        <v>82</v>
      </c>
      <c r="E999" s="2" t="s">
        <v>53</v>
      </c>
      <c r="F999" s="2" t="s">
        <v>5762</v>
      </c>
      <c r="G999" s="2" t="s">
        <v>5763</v>
      </c>
      <c r="H999" s="2" t="s">
        <v>47</v>
      </c>
      <c r="I999" s="2" t="s">
        <v>48</v>
      </c>
      <c r="J999" s="2" t="s">
        <v>71</v>
      </c>
      <c r="K999" s="2" t="s">
        <v>72</v>
      </c>
      <c r="L999" s="2" t="s">
        <v>5764</v>
      </c>
      <c r="M999" s="2"/>
    </row>
    <row r="1000" customFormat="false" ht="23.85" hidden="false" customHeight="false" outlineLevel="0" collapsed="false">
      <c r="A1000" s="2" t="s">
        <v>5765</v>
      </c>
      <c r="B1000" s="3" t="s">
        <v>5766</v>
      </c>
      <c r="C1000" s="2"/>
      <c r="D1000" s="2" t="s">
        <v>15</v>
      </c>
      <c r="E1000" s="2" t="s">
        <v>574</v>
      </c>
      <c r="F1000" s="2" t="s">
        <v>5767</v>
      </c>
      <c r="G1000" s="2" t="s">
        <v>5768</v>
      </c>
      <c r="H1000" s="2" t="s">
        <v>47</v>
      </c>
      <c r="I1000" s="2" t="s">
        <v>63</v>
      </c>
      <c r="J1000" s="2" t="s">
        <v>21</v>
      </c>
      <c r="K1000" s="2" t="s">
        <v>22</v>
      </c>
      <c r="L1000" s="2" t="s">
        <v>5760</v>
      </c>
      <c r="M1000" s="2"/>
    </row>
    <row r="1001" customFormat="false" ht="23.85" hidden="false" customHeight="false" outlineLevel="0" collapsed="false">
      <c r="A1001" s="2" t="s">
        <v>5769</v>
      </c>
      <c r="B1001" s="3" t="s">
        <v>5770</v>
      </c>
      <c r="C1001" s="2"/>
      <c r="D1001" s="2" t="s">
        <v>82</v>
      </c>
      <c r="E1001" s="2" t="s">
        <v>60</v>
      </c>
      <c r="F1001" s="2" t="s">
        <v>5771</v>
      </c>
      <c r="G1001" s="2" t="s">
        <v>5772</v>
      </c>
      <c r="H1001" s="2" t="s">
        <v>47</v>
      </c>
      <c r="I1001" s="2" t="s">
        <v>63</v>
      </c>
      <c r="J1001" s="2" t="s">
        <v>21</v>
      </c>
      <c r="K1001" s="2" t="s">
        <v>22</v>
      </c>
      <c r="L1001" s="2" t="s">
        <v>844</v>
      </c>
      <c r="M1001" s="2"/>
    </row>
    <row r="1002" customFormat="false" ht="23.85" hidden="false" customHeight="false" outlineLevel="0" collapsed="false">
      <c r="A1002" s="2" t="s">
        <v>2134</v>
      </c>
      <c r="B1002" s="3" t="s">
        <v>5773</v>
      </c>
      <c r="C1002" s="2"/>
      <c r="D1002" s="2" t="s">
        <v>82</v>
      </c>
      <c r="E1002" s="2" t="s">
        <v>2844</v>
      </c>
      <c r="F1002" s="2" t="s">
        <v>5774</v>
      </c>
      <c r="G1002" s="2" t="s">
        <v>5775</v>
      </c>
      <c r="H1002" s="2" t="s">
        <v>47</v>
      </c>
      <c r="I1002" s="2" t="s">
        <v>48</v>
      </c>
      <c r="J1002" s="2" t="s">
        <v>21</v>
      </c>
      <c r="K1002" s="2" t="s">
        <v>72</v>
      </c>
      <c r="L1002" s="2" t="s">
        <v>5776</v>
      </c>
      <c r="M1002" s="2" t="s">
        <v>5777</v>
      </c>
    </row>
    <row r="1003" customFormat="false" ht="23.85" hidden="false" customHeight="false" outlineLevel="0" collapsed="false">
      <c r="A1003" s="2" t="s">
        <v>5778</v>
      </c>
      <c r="B1003" s="3" t="s">
        <v>5779</v>
      </c>
      <c r="C1003" s="2" t="s">
        <v>5780</v>
      </c>
      <c r="D1003" s="2" t="s">
        <v>82</v>
      </c>
      <c r="E1003" s="2" t="s">
        <v>216</v>
      </c>
      <c r="F1003" s="2" t="s">
        <v>5781</v>
      </c>
      <c r="G1003" s="2" t="s">
        <v>5782</v>
      </c>
      <c r="H1003" s="2" t="s">
        <v>47</v>
      </c>
      <c r="I1003" s="2" t="s">
        <v>85</v>
      </c>
      <c r="J1003" s="2" t="s">
        <v>86</v>
      </c>
      <c r="K1003" s="2" t="s">
        <v>72</v>
      </c>
      <c r="L1003" s="2" t="s">
        <v>5783</v>
      </c>
      <c r="M1003" s="2"/>
    </row>
    <row r="1004" customFormat="false" ht="15" hidden="false" customHeight="false" outlineLevel="0" collapsed="false">
      <c r="A1004" s="2" t="s">
        <v>5784</v>
      </c>
      <c r="B1004" s="3" t="s">
        <v>5785</v>
      </c>
      <c r="C1004" s="2"/>
      <c r="D1004" s="2" t="s">
        <v>82</v>
      </c>
      <c r="E1004" s="2" t="s">
        <v>1294</v>
      </c>
      <c r="F1004" s="2" t="s">
        <v>5786</v>
      </c>
      <c r="G1004" s="2" t="s">
        <v>5787</v>
      </c>
      <c r="H1004" s="2" t="s">
        <v>47</v>
      </c>
      <c r="I1004" s="2" t="s">
        <v>85</v>
      </c>
      <c r="J1004" s="2" t="s">
        <v>86</v>
      </c>
      <c r="K1004" s="2" t="s">
        <v>72</v>
      </c>
      <c r="L1004" s="2" t="s">
        <v>5788</v>
      </c>
      <c r="M1004" s="2"/>
    </row>
    <row r="1005" customFormat="false" ht="15" hidden="false" customHeight="false" outlineLevel="0" collapsed="false">
      <c r="A1005" s="2" t="s">
        <v>5789</v>
      </c>
      <c r="B1005" s="3" t="s">
        <v>5790</v>
      </c>
      <c r="C1005" s="2" t="s">
        <v>5791</v>
      </c>
      <c r="D1005" s="2" t="s">
        <v>15</v>
      </c>
      <c r="E1005" s="2" t="s">
        <v>796</v>
      </c>
      <c r="F1005" s="2" t="s">
        <v>5792</v>
      </c>
      <c r="G1005" s="2" t="s">
        <v>5793</v>
      </c>
      <c r="H1005" s="2" t="s">
        <v>47</v>
      </c>
      <c r="I1005" s="2" t="s">
        <v>799</v>
      </c>
      <c r="J1005" s="2" t="s">
        <v>86</v>
      </c>
      <c r="K1005" s="2" t="s">
        <v>22</v>
      </c>
      <c r="L1005" s="2" t="s">
        <v>1972</v>
      </c>
      <c r="M1005" s="2"/>
    </row>
    <row r="1006" customFormat="false" ht="23.85" hidden="false" customHeight="false" outlineLevel="0" collapsed="false">
      <c r="A1006" s="2" t="s">
        <v>5794</v>
      </c>
      <c r="B1006" s="3" t="s">
        <v>5795</v>
      </c>
      <c r="C1006" s="2" t="s">
        <v>5796</v>
      </c>
      <c r="D1006" s="2" t="s">
        <v>15</v>
      </c>
      <c r="E1006" s="2" t="s">
        <v>16</v>
      </c>
      <c r="F1006" s="2" t="s">
        <v>5797</v>
      </c>
      <c r="G1006" s="2" t="s">
        <v>5798</v>
      </c>
      <c r="H1006" s="2" t="s">
        <v>47</v>
      </c>
      <c r="I1006" s="2" t="s">
        <v>182</v>
      </c>
      <c r="J1006" s="2" t="s">
        <v>86</v>
      </c>
      <c r="K1006" s="2" t="s">
        <v>87</v>
      </c>
      <c r="L1006" s="2" t="s">
        <v>5799</v>
      </c>
      <c r="M1006" s="2"/>
    </row>
    <row r="1007" customFormat="false" ht="23.85" hidden="false" customHeight="false" outlineLevel="0" collapsed="false">
      <c r="A1007" s="2" t="s">
        <v>5800</v>
      </c>
      <c r="B1007" s="3" t="s">
        <v>5801</v>
      </c>
      <c r="C1007" s="2" t="s">
        <v>5802</v>
      </c>
      <c r="D1007" s="2" t="s">
        <v>231</v>
      </c>
      <c r="E1007" s="2" t="s">
        <v>1662</v>
      </c>
      <c r="F1007" s="2" t="s">
        <v>5803</v>
      </c>
      <c r="G1007" s="2" t="s">
        <v>5804</v>
      </c>
      <c r="H1007" s="2" t="s">
        <v>306</v>
      </c>
      <c r="I1007" s="2" t="s">
        <v>48</v>
      </c>
      <c r="J1007" s="2" t="s">
        <v>71</v>
      </c>
      <c r="K1007" s="2" t="s">
        <v>72</v>
      </c>
      <c r="L1007" s="2" t="s">
        <v>5805</v>
      </c>
      <c r="M1007" s="2"/>
    </row>
    <row r="1008" customFormat="false" ht="15" hidden="false" customHeight="false" outlineLevel="0" collapsed="false">
      <c r="A1008" s="2" t="s">
        <v>5806</v>
      </c>
      <c r="B1008" s="3" t="s">
        <v>5807</v>
      </c>
      <c r="C1008" s="2"/>
      <c r="D1008" s="2" t="s">
        <v>34</v>
      </c>
      <c r="E1008" s="2" t="s">
        <v>216</v>
      </c>
      <c r="F1008" s="2" t="s">
        <v>5808</v>
      </c>
      <c r="G1008" s="2" t="s">
        <v>5809</v>
      </c>
      <c r="H1008" s="2" t="s">
        <v>38</v>
      </c>
      <c r="I1008" s="2" t="s">
        <v>29</v>
      </c>
      <c r="J1008" s="2" t="s">
        <v>71</v>
      </c>
      <c r="K1008" s="2" t="s">
        <v>22</v>
      </c>
      <c r="L1008" s="2" t="s">
        <v>5810</v>
      </c>
      <c r="M1008" s="2" t="s">
        <v>5811</v>
      </c>
    </row>
    <row r="1009" customFormat="false" ht="23.85" hidden="false" customHeight="false" outlineLevel="0" collapsed="false">
      <c r="A1009" s="2" t="s">
        <v>5812</v>
      </c>
      <c r="B1009" s="3" t="s">
        <v>5813</v>
      </c>
      <c r="C1009" s="2" t="s">
        <v>5814</v>
      </c>
      <c r="D1009" s="2" t="s">
        <v>34</v>
      </c>
      <c r="E1009" s="2" t="s">
        <v>216</v>
      </c>
      <c r="F1009" s="2" t="s">
        <v>5815</v>
      </c>
      <c r="G1009" s="2" t="s">
        <v>5816</v>
      </c>
      <c r="H1009" s="2" t="s">
        <v>38</v>
      </c>
      <c r="I1009" s="2" t="s">
        <v>85</v>
      </c>
      <c r="J1009" s="2" t="s">
        <v>71</v>
      </c>
      <c r="K1009" s="2" t="s">
        <v>22</v>
      </c>
      <c r="L1009" s="2" t="s">
        <v>5817</v>
      </c>
      <c r="M1009" s="2" t="s">
        <v>5818</v>
      </c>
    </row>
    <row r="1010" customFormat="false" ht="23.85" hidden="false" customHeight="false" outlineLevel="0" collapsed="false">
      <c r="A1010" s="2" t="s">
        <v>5819</v>
      </c>
      <c r="B1010" s="3" t="s">
        <v>5820</v>
      </c>
      <c r="C1010" s="2" t="s">
        <v>5821</v>
      </c>
      <c r="D1010" s="2" t="s">
        <v>238</v>
      </c>
      <c r="E1010" s="2" t="s">
        <v>216</v>
      </c>
      <c r="F1010" s="2" t="s">
        <v>5822</v>
      </c>
      <c r="G1010" s="2" t="s">
        <v>5823</v>
      </c>
      <c r="H1010" s="2" t="s">
        <v>241</v>
      </c>
      <c r="I1010" s="2" t="s">
        <v>85</v>
      </c>
      <c r="J1010" s="2" t="s">
        <v>71</v>
      </c>
      <c r="K1010" s="2" t="s">
        <v>22</v>
      </c>
      <c r="L1010" s="2" t="s">
        <v>5824</v>
      </c>
      <c r="M1010" s="2"/>
    </row>
    <row r="1011" customFormat="false" ht="23.85" hidden="false" customHeight="false" outlineLevel="0" collapsed="false">
      <c r="A1011" s="2" t="s">
        <v>1891</v>
      </c>
      <c r="B1011" s="3" t="s">
        <v>5825</v>
      </c>
      <c r="C1011" s="2" t="s">
        <v>5826</v>
      </c>
      <c r="D1011" s="2" t="s">
        <v>15</v>
      </c>
      <c r="E1011" s="2" t="s">
        <v>5827</v>
      </c>
      <c r="F1011" s="2" t="s">
        <v>5828</v>
      </c>
      <c r="G1011" s="2" t="s">
        <v>5829</v>
      </c>
      <c r="H1011" s="2" t="s">
        <v>47</v>
      </c>
      <c r="I1011" s="2" t="s">
        <v>182</v>
      </c>
      <c r="J1011" s="2" t="s">
        <v>86</v>
      </c>
      <c r="K1011" s="2" t="s">
        <v>87</v>
      </c>
      <c r="L1011" s="2" t="s">
        <v>5830</v>
      </c>
      <c r="M1011" s="2" t="s">
        <v>5831</v>
      </c>
    </row>
    <row r="1012" customFormat="false" ht="23.85" hidden="false" customHeight="false" outlineLevel="0" collapsed="false">
      <c r="A1012" s="2" t="s">
        <v>5832</v>
      </c>
      <c r="B1012" s="3" t="s">
        <v>5833</v>
      </c>
      <c r="C1012" s="2" t="s">
        <v>5834</v>
      </c>
      <c r="D1012" s="2" t="s">
        <v>231</v>
      </c>
      <c r="E1012" s="2" t="s">
        <v>789</v>
      </c>
      <c r="F1012" s="2" t="s">
        <v>5835</v>
      </c>
      <c r="G1012" s="2" t="s">
        <v>5836</v>
      </c>
      <c r="H1012" s="2"/>
      <c r="I1012" s="2" t="s">
        <v>78</v>
      </c>
      <c r="J1012" s="2" t="s">
        <v>21</v>
      </c>
      <c r="K1012" s="2" t="s">
        <v>22</v>
      </c>
      <c r="L1012" s="2" t="s">
        <v>2216</v>
      </c>
      <c r="M1012" s="2"/>
    </row>
    <row r="1013" customFormat="false" ht="23.85" hidden="false" customHeight="false" outlineLevel="0" collapsed="false">
      <c r="A1013" s="2" t="s">
        <v>5837</v>
      </c>
      <c r="B1013" s="3" t="s">
        <v>5838</v>
      </c>
      <c r="C1013" s="2" t="s">
        <v>5839</v>
      </c>
      <c r="D1013" s="2" t="s">
        <v>106</v>
      </c>
      <c r="E1013" s="2" t="s">
        <v>53</v>
      </c>
      <c r="F1013" s="2" t="s">
        <v>5840</v>
      </c>
      <c r="G1013" s="2" t="s">
        <v>5841</v>
      </c>
      <c r="H1013" s="2" t="s">
        <v>110</v>
      </c>
      <c r="I1013" s="2" t="s">
        <v>78</v>
      </c>
      <c r="J1013" s="2" t="s">
        <v>71</v>
      </c>
      <c r="K1013" s="2" t="s">
        <v>87</v>
      </c>
      <c r="L1013" s="2" t="s">
        <v>5842</v>
      </c>
      <c r="M1013" s="2"/>
    </row>
    <row r="1014" customFormat="false" ht="23.85" hidden="false" customHeight="false" outlineLevel="0" collapsed="false">
      <c r="A1014" s="2" t="s">
        <v>5843</v>
      </c>
      <c r="B1014" s="3" t="s">
        <v>5844</v>
      </c>
      <c r="C1014" s="2"/>
      <c r="D1014" s="2" t="s">
        <v>82</v>
      </c>
      <c r="E1014" s="2" t="s">
        <v>312</v>
      </c>
      <c r="F1014" s="2" t="s">
        <v>5845</v>
      </c>
      <c r="G1014" s="2" t="s">
        <v>5846</v>
      </c>
      <c r="H1014" s="2" t="s">
        <v>47</v>
      </c>
      <c r="I1014" s="2" t="s">
        <v>63</v>
      </c>
      <c r="J1014" s="2" t="s">
        <v>71</v>
      </c>
      <c r="K1014" s="2" t="s">
        <v>72</v>
      </c>
      <c r="L1014" s="2" t="s">
        <v>5847</v>
      </c>
      <c r="M1014" s="2"/>
    </row>
    <row r="1015" customFormat="false" ht="15" hidden="false" customHeight="false" outlineLevel="0" collapsed="false">
      <c r="A1015" s="2" t="s">
        <v>5848</v>
      </c>
      <c r="B1015" s="3" t="s">
        <v>5849</v>
      </c>
      <c r="C1015" s="2" t="s">
        <v>5850</v>
      </c>
      <c r="D1015" s="2" t="s">
        <v>15</v>
      </c>
      <c r="E1015" s="2" t="s">
        <v>60</v>
      </c>
      <c r="F1015" s="2" t="s">
        <v>5851</v>
      </c>
      <c r="G1015" s="2" t="s">
        <v>5852</v>
      </c>
      <c r="H1015" s="2" t="s">
        <v>47</v>
      </c>
      <c r="I1015" s="2" t="s">
        <v>799</v>
      </c>
      <c r="J1015" s="2" t="s">
        <v>86</v>
      </c>
      <c r="K1015" s="2" t="s">
        <v>22</v>
      </c>
      <c r="L1015" s="2" t="s">
        <v>2716</v>
      </c>
      <c r="M1015" s="2"/>
    </row>
    <row r="1016" customFormat="false" ht="15" hidden="false" customHeight="false" outlineLevel="0" collapsed="false">
      <c r="A1016" s="2" t="s">
        <v>5853</v>
      </c>
      <c r="B1016" s="3" t="s">
        <v>5854</v>
      </c>
      <c r="C1016" s="2" t="s">
        <v>5855</v>
      </c>
      <c r="D1016" s="2" t="s">
        <v>15</v>
      </c>
      <c r="E1016" s="2" t="s">
        <v>188</v>
      </c>
      <c r="F1016" s="2" t="s">
        <v>5856</v>
      </c>
      <c r="G1016" s="2" t="s">
        <v>5857</v>
      </c>
      <c r="H1016" s="2" t="s">
        <v>47</v>
      </c>
      <c r="I1016" s="2" t="s">
        <v>63</v>
      </c>
      <c r="J1016" s="2" t="s">
        <v>21</v>
      </c>
      <c r="K1016" s="2" t="s">
        <v>22</v>
      </c>
      <c r="L1016" s="2" t="s">
        <v>5858</v>
      </c>
      <c r="M1016" s="2"/>
    </row>
    <row r="1017" customFormat="false" ht="15" hidden="false" customHeight="false" outlineLevel="0" collapsed="false">
      <c r="A1017" s="2" t="s">
        <v>5859</v>
      </c>
      <c r="B1017" s="3" t="s">
        <v>5860</v>
      </c>
      <c r="C1017" s="2"/>
      <c r="D1017" s="2" t="s">
        <v>52</v>
      </c>
      <c r="E1017" s="2" t="s">
        <v>60</v>
      </c>
      <c r="F1017" s="2" t="s">
        <v>5861</v>
      </c>
      <c r="G1017" s="2" t="s">
        <v>5862</v>
      </c>
      <c r="H1017" s="2" t="s">
        <v>47</v>
      </c>
      <c r="I1017" s="2" t="s">
        <v>63</v>
      </c>
      <c r="J1017" s="2" t="s">
        <v>21</v>
      </c>
      <c r="K1017" s="2" t="s">
        <v>22</v>
      </c>
      <c r="L1017" s="2" t="s">
        <v>2463</v>
      </c>
      <c r="M1017" s="2"/>
    </row>
  </sheetData>
  <autoFilter ref="A1:M10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4" min="4" style="0" width="70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4" t="s">
        <v>5863</v>
      </c>
    </row>
    <row r="2" customFormat="false" ht="15" hidden="false" customHeight="false" outlineLevel="0" collapsed="false">
      <c r="A2" s="5" t="s">
        <v>5864</v>
      </c>
    </row>
    <row r="4" customFormat="false" ht="15" hidden="false" customHeight="false" outlineLevel="0" collapsed="false">
      <c r="A4" s="6" t="s">
        <v>5865</v>
      </c>
      <c r="B4" s="6" t="n">
        <f aca="false">COUNTA(Terms!$A$2:$A$1017)</f>
        <v>1016</v>
      </c>
    </row>
    <row r="6" customFormat="false" ht="15" hidden="false" customHeight="false" outlineLevel="0" collapsed="false">
      <c r="A6" s="7" t="s">
        <v>3</v>
      </c>
      <c r="B6" s="7" t="s">
        <v>5866</v>
      </c>
      <c r="C6" s="7" t="s">
        <v>5867</v>
      </c>
      <c r="D6" s="7" t="s">
        <v>5868</v>
      </c>
    </row>
    <row r="7" customFormat="false" ht="15" hidden="false" customHeight="false" outlineLevel="0" collapsed="false">
      <c r="A7" s="8" t="s">
        <v>179</v>
      </c>
      <c r="B7" s="8" t="n">
        <f aca="false">COUNTIF(Terms!$D$2:$D$1017,"Core Concept")</f>
        <v>55</v>
      </c>
      <c r="C7" s="9" t="n">
        <f aca="false">IF($B$4=0,0,B7/$B$4)</f>
        <v>0.0541338582677165</v>
      </c>
      <c r="D7" s="10" t="s">
        <v>5869</v>
      </c>
    </row>
    <row r="8" customFormat="false" ht="15" hidden="false" customHeight="false" outlineLevel="0" collapsed="false">
      <c r="A8" s="8" t="s">
        <v>82</v>
      </c>
      <c r="B8" s="8" t="n">
        <f aca="false">COUNTIF(Terms!$D$2:$D$1017,"Policy Wording")</f>
        <v>158</v>
      </c>
      <c r="C8" s="9" t="n">
        <f aca="false">IF($B$4=0,0,B8/$B$4)</f>
        <v>0.155511811023622</v>
      </c>
      <c r="D8" s="10" t="s">
        <v>5870</v>
      </c>
    </row>
    <row r="9" customFormat="false" ht="15" hidden="false" customHeight="false" outlineLevel="0" collapsed="false">
      <c r="A9" s="8" t="s">
        <v>223</v>
      </c>
      <c r="B9" s="8" t="n">
        <f aca="false">COUNTIF(Terms!$D$2:$D$1017,"Lifecycle")</f>
        <v>40</v>
      </c>
      <c r="C9" s="9" t="n">
        <f aca="false">IF($B$4=0,0,B9/$B$4)</f>
        <v>0.0393700787401575</v>
      </c>
      <c r="D9" s="10" t="s">
        <v>5871</v>
      </c>
    </row>
    <row r="10" customFormat="false" ht="15" hidden="false" customHeight="false" outlineLevel="0" collapsed="false">
      <c r="A10" s="8" t="s">
        <v>34</v>
      </c>
      <c r="B10" s="8" t="n">
        <f aca="false">COUNTIF(Terms!$D$2:$D$1017,"Underwriting")</f>
        <v>78</v>
      </c>
      <c r="C10" s="9" t="n">
        <f aca="false">IF($B$4=0,0,B10/$B$4)</f>
        <v>0.0767716535433071</v>
      </c>
      <c r="D10" s="10" t="s">
        <v>5872</v>
      </c>
    </row>
    <row r="11" customFormat="false" ht="15" hidden="false" customHeight="false" outlineLevel="0" collapsed="false">
      <c r="A11" s="8" t="s">
        <v>59</v>
      </c>
      <c r="B11" s="8" t="n">
        <f aca="false">COUNTIF(Terms!$D$2:$D$1017,"Claims")</f>
        <v>59</v>
      </c>
      <c r="C11" s="9" t="n">
        <f aca="false">IF($B$4=0,0,B11/$B$4)</f>
        <v>0.0580708661417323</v>
      </c>
      <c r="D11" s="10" t="s">
        <v>5873</v>
      </c>
    </row>
    <row r="12" customFormat="false" ht="15" hidden="false" customHeight="false" outlineLevel="0" collapsed="false">
      <c r="A12" s="8" t="s">
        <v>231</v>
      </c>
      <c r="B12" s="8" t="n">
        <f aca="false">COUNTIF(Terms!$D$2:$D$1017,"Distribution")</f>
        <v>40</v>
      </c>
      <c r="C12" s="9" t="n">
        <f aca="false">IF($B$4=0,0,B12/$B$4)</f>
        <v>0.0393700787401575</v>
      </c>
      <c r="D12" s="10" t="s">
        <v>5874</v>
      </c>
    </row>
    <row r="13" customFormat="false" ht="15" hidden="false" customHeight="false" outlineLevel="0" collapsed="false">
      <c r="A13" s="8" t="s">
        <v>106</v>
      </c>
      <c r="B13" s="8" t="n">
        <f aca="false">COUNTIF(Terms!$D$2:$D$1017,"Finance &amp; Actuarial")</f>
        <v>93</v>
      </c>
      <c r="C13" s="9" t="n">
        <f aca="false">IF($B$4=0,0,B13/$B$4)</f>
        <v>0.0915354330708662</v>
      </c>
      <c r="D13" s="10" t="s">
        <v>5875</v>
      </c>
    </row>
    <row r="14" customFormat="false" ht="15" hidden="false" customHeight="false" outlineLevel="0" collapsed="false">
      <c r="A14" s="8" t="s">
        <v>238</v>
      </c>
      <c r="B14" s="8" t="n">
        <f aca="false">COUNTIF(Terms!$D$2:$D$1017,"Regulation")</f>
        <v>91</v>
      </c>
      <c r="C14" s="9" t="n">
        <f aca="false">IF($B$4=0,0,B14/$B$4)</f>
        <v>0.0895669291338583</v>
      </c>
      <c r="D14" s="10" t="s">
        <v>5876</v>
      </c>
    </row>
    <row r="15" customFormat="false" ht="15" hidden="false" customHeight="false" outlineLevel="0" collapsed="false">
      <c r="A15" s="8" t="s">
        <v>251</v>
      </c>
      <c r="B15" s="8" t="n">
        <f aca="false">COUNTIF(Terms!$D$2:$D$1017,"Reinsurance")</f>
        <v>41</v>
      </c>
      <c r="C15" s="9" t="n">
        <f aca="false">IF($B$4=0,0,B15/$B$4)</f>
        <v>0.0403543307086614</v>
      </c>
      <c r="D15" s="10" t="s">
        <v>5877</v>
      </c>
    </row>
    <row r="16" customFormat="false" ht="15" hidden="false" customHeight="false" outlineLevel="0" collapsed="false">
      <c r="A16" s="8" t="s">
        <v>52</v>
      </c>
      <c r="B16" s="8" t="n">
        <f aca="false">COUNTIF(Terms!$D$2:$D$1017,"Legal/Latin")</f>
        <v>49</v>
      </c>
      <c r="C16" s="9" t="n">
        <f aca="false">IF($B$4=0,0,B16/$B$4)</f>
        <v>0.0482283464566929</v>
      </c>
      <c r="D16" s="10" t="s">
        <v>5878</v>
      </c>
    </row>
    <row r="17" customFormat="false" ht="15" hidden="false" customHeight="false" outlineLevel="0" collapsed="false">
      <c r="A17" s="8" t="s">
        <v>43</v>
      </c>
      <c r="B17" s="8" t="n">
        <f aca="false">COUNTIF(Terms!$D$2:$D$1017,"Technology")</f>
        <v>62</v>
      </c>
      <c r="C17" s="9" t="n">
        <f aca="false">IF($B$4=0,0,B17/$B$4)</f>
        <v>0.0610236220472441</v>
      </c>
      <c r="D17" s="10" t="s">
        <v>5879</v>
      </c>
    </row>
    <row r="18" customFormat="false" ht="15" hidden="false" customHeight="false" outlineLevel="0" collapsed="false">
      <c r="A18" s="8" t="s">
        <v>15</v>
      </c>
      <c r="B18" s="8" t="n">
        <f aca="false">COUNTIF(Terms!$D$2:$D$1017,"Line-Specific")</f>
        <v>250</v>
      </c>
      <c r="C18" s="9" t="n">
        <f aca="false">IF($B$4=0,0,B18/$B$4)</f>
        <v>0.246062992125984</v>
      </c>
      <c r="D18" s="10" t="s">
        <v>5880</v>
      </c>
    </row>
    <row r="19" customFormat="false" ht="15" hidden="false" customHeight="false" outlineLevel="0" collapsed="false">
      <c r="A19" s="6" t="s">
        <v>5881</v>
      </c>
      <c r="B19" s="6" t="n">
        <f aca="false">SUM(B7:B18)</f>
        <v>1016</v>
      </c>
    </row>
    <row r="21" customFormat="false" ht="15" hidden="false" customHeight="false" outlineLevel="0" collapsed="false">
      <c r="A21" s="7" t="s">
        <v>5882</v>
      </c>
      <c r="B21" s="7" t="s">
        <v>5866</v>
      </c>
      <c r="C21" s="7" t="s">
        <v>5867</v>
      </c>
      <c r="D21" s="7" t="s">
        <v>5868</v>
      </c>
    </row>
    <row r="22" customFormat="false" ht="15" hidden="false" customHeight="false" outlineLevel="0" collapsed="false">
      <c r="A22" s="8" t="s">
        <v>53</v>
      </c>
      <c r="B22" s="8" t="n">
        <f aca="false">COUNTIF(Terms!$E$2:$E$1017,"All")</f>
        <v>318</v>
      </c>
      <c r="C22" s="9" t="n">
        <f aca="false">IF($B$4=0,0,B22/$B$4)</f>
        <v>0.312992125984252</v>
      </c>
      <c r="D22" s="10" t="s">
        <v>5883</v>
      </c>
    </row>
    <row r="23" customFormat="false" ht="15" hidden="false" customHeight="false" outlineLevel="0" collapsed="false">
      <c r="A23" s="8" t="s">
        <v>16</v>
      </c>
      <c r="B23" s="8" t="n">
        <f aca="false">COUNTIF(Terms!$E$2:$E$1017,"*Life*")</f>
        <v>144</v>
      </c>
      <c r="C23" s="9" t="n">
        <f aca="false">IF($B$4=0,0,B23/$B$4)</f>
        <v>0.141732283464567</v>
      </c>
      <c r="D23" s="10" t="s">
        <v>5884</v>
      </c>
    </row>
    <row r="24" customFormat="false" ht="15" hidden="false" customHeight="false" outlineLevel="0" collapsed="false">
      <c r="A24" s="8" t="s">
        <v>99</v>
      </c>
      <c r="B24" s="8" t="n">
        <f aca="false">COUNTIF(Terms!$E$2:$E$1017,"*Health*")</f>
        <v>163</v>
      </c>
      <c r="C24" s="9" t="n">
        <f aca="false">IF($B$4=0,0,B24/$B$4)</f>
        <v>0.160433070866142</v>
      </c>
      <c r="D24" s="10" t="s">
        <v>5885</v>
      </c>
    </row>
    <row r="25" customFormat="false" ht="15" hidden="false" customHeight="false" outlineLevel="0" collapsed="false">
      <c r="A25" s="8" t="s">
        <v>216</v>
      </c>
      <c r="B25" s="8" t="n">
        <f aca="false">COUNTIF(Terms!$E$2:$E$1017,"*Property*")</f>
        <v>186</v>
      </c>
      <c r="C25" s="9" t="n">
        <f aca="false">IF($B$4=0,0,B25/$B$4)</f>
        <v>0.183070866141732</v>
      </c>
      <c r="D25" s="10" t="s">
        <v>5886</v>
      </c>
    </row>
    <row r="26" customFormat="false" ht="15" hidden="false" customHeight="false" outlineLevel="0" collapsed="false">
      <c r="A26" s="8" t="s">
        <v>487</v>
      </c>
      <c r="B26" s="8" t="n">
        <f aca="false">COUNTIF(Terms!$E$2:$E$1017,"*Casualty/Liability*")</f>
        <v>124</v>
      </c>
      <c r="C26" s="9" t="n">
        <f aca="false">IF($B$4=0,0,B26/$B$4)</f>
        <v>0.122047244094488</v>
      </c>
      <c r="D26" s="10" t="s">
        <v>5887</v>
      </c>
    </row>
    <row r="27" customFormat="false" ht="15" hidden="false" customHeight="false" outlineLevel="0" collapsed="false">
      <c r="A27" s="8" t="s">
        <v>91</v>
      </c>
      <c r="B27" s="8" t="n">
        <f aca="false">COUNTIF(Terms!$E$2:$E$1017,"*Motor*")</f>
        <v>112</v>
      </c>
      <c r="C27" s="9" t="n">
        <f aca="false">IF($B$4=0,0,B27/$B$4)</f>
        <v>0.110236220472441</v>
      </c>
      <c r="D27" s="10" t="s">
        <v>5888</v>
      </c>
    </row>
    <row r="28" customFormat="false" ht="15" hidden="false" customHeight="false" outlineLevel="0" collapsed="false">
      <c r="A28" s="8" t="s">
        <v>5889</v>
      </c>
      <c r="B28" s="8" t="n">
        <f aca="false">COUNTIF(Terms!$E$2:$E$1017,"*Commercial*")</f>
        <v>168</v>
      </c>
      <c r="C28" s="9" t="n">
        <f aca="false">IF($B$4=0,0,B28/$B$4)</f>
        <v>0.165354330708661</v>
      </c>
      <c r="D28" s="10" t="s">
        <v>5890</v>
      </c>
    </row>
    <row r="29" customFormat="false" ht="15" hidden="false" customHeight="false" outlineLevel="0" collapsed="false">
      <c r="A29" s="8" t="s">
        <v>60</v>
      </c>
      <c r="B29" s="8" t="n">
        <f aca="false">COUNTIF(Terms!$E$2:$E$1017,"*Marine/Aviation/Transit*")</f>
        <v>46</v>
      </c>
      <c r="C29" s="9" t="n">
        <f aca="false">IF($B$4=0,0,B29/$B$4)</f>
        <v>0.0452755905511811</v>
      </c>
      <c r="D29" s="10" t="s">
        <v>5891</v>
      </c>
    </row>
    <row r="30" customFormat="false" ht="15" hidden="false" customHeight="false" outlineLevel="0" collapsed="false">
      <c r="A30" s="8" t="s">
        <v>796</v>
      </c>
      <c r="B30" s="8" t="n">
        <f aca="false">COUNTIF(Terms!$E$2:$E$1017,"*Specialty*")</f>
        <v>61</v>
      </c>
      <c r="C30" s="9" t="n">
        <f aca="false">IF($B$4=0,0,B30/$B$4)</f>
        <v>0.0600393700787402</v>
      </c>
      <c r="D30" s="10" t="s">
        <v>5892</v>
      </c>
    </row>
    <row r="31" customFormat="false" ht="15" hidden="false" customHeight="false" outlineLevel="0" collapsed="false">
      <c r="A31" s="8" t="s">
        <v>312</v>
      </c>
      <c r="B31" s="8" t="n">
        <f aca="false">COUNTIF(Terms!$E$2:$E$1017,"*Financial Lines*")</f>
        <v>81</v>
      </c>
      <c r="C31" s="9" t="n">
        <f aca="false">IF($B$4=0,0,B31/$B$4)</f>
        <v>0.0797244094488189</v>
      </c>
      <c r="D31" s="10" t="s">
        <v>5893</v>
      </c>
    </row>
    <row r="32" customFormat="false" ht="15" hidden="false" customHeight="false" outlineLevel="0" collapsed="false">
      <c r="A32" s="8" t="s">
        <v>188</v>
      </c>
      <c r="B32" s="8" t="n">
        <f aca="false">COUNTIF(Terms!$E$2:$E$1017,"*Agriculture*")</f>
        <v>22</v>
      </c>
      <c r="C32" s="9" t="n">
        <f aca="false">IF($B$4=0,0,B32/$B$4)</f>
        <v>0.0216535433070866</v>
      </c>
      <c r="D32" s="10" t="s">
        <v>5894</v>
      </c>
    </row>
    <row r="33" customFormat="false" ht="15" hidden="false" customHeight="false" outlineLevel="0" collapsed="false">
      <c r="A33" s="8" t="s">
        <v>5069</v>
      </c>
      <c r="B33" s="8" t="n">
        <f aca="false">COUNTIF(Terms!$E$2:$E$1017,"*Social/Government*")</f>
        <v>28</v>
      </c>
      <c r="C33" s="9" t="n">
        <f aca="false">IF($B$4=0,0,B33/$B$4)</f>
        <v>0.0275590551181102</v>
      </c>
      <c r="D33" s="10" t="s">
        <v>5895</v>
      </c>
    </row>
    <row r="34" customFormat="false" ht="15" hidden="false" customHeight="false" outlineLevel="0" collapsed="false">
      <c r="A34" s="8" t="s">
        <v>251</v>
      </c>
      <c r="B34" s="8" t="n">
        <f aca="false">COUNTIF(Terms!$E$2:$E$1017,"*Reinsurance*")</f>
        <v>57</v>
      </c>
      <c r="C34" s="9" t="n">
        <f aca="false">IF($B$4=0,0,B34/$B$4)</f>
        <v>0.0561023622047244</v>
      </c>
      <c r="D34" s="10" t="s">
        <v>5896</v>
      </c>
    </row>
    <row r="35" customFormat="false" ht="15" hidden="false" customHeight="false" outlineLevel="0" collapsed="false">
      <c r="A35" s="8" t="s">
        <v>375</v>
      </c>
      <c r="B35" s="8" t="n">
        <f aca="false">COUNTIF(Terms!$E$2:$E$1017,"*Alternative Risk Transfer*")</f>
        <v>14</v>
      </c>
      <c r="C35" s="9" t="n">
        <f aca="false">IF($B$4=0,0,B35/$B$4)</f>
        <v>0.0137795275590551</v>
      </c>
      <c r="D35" s="10" t="s">
        <v>5897</v>
      </c>
    </row>
    <row r="36" customFormat="false" ht="15" hidden="false" customHeight="false" outlineLevel="0" collapsed="false">
      <c r="A36" s="5" t="s">
        <v>5898</v>
      </c>
    </row>
    <row r="38" customFormat="false" ht="15" hidden="false" customHeight="false" outlineLevel="0" collapsed="false">
      <c r="A38" s="7" t="s">
        <v>9</v>
      </c>
      <c r="B38" s="7" t="s">
        <v>5866</v>
      </c>
      <c r="C38" s="7" t="s">
        <v>5867</v>
      </c>
      <c r="D38" s="7" t="s">
        <v>5868</v>
      </c>
    </row>
    <row r="39" customFormat="false" ht="15" hidden="false" customHeight="false" outlineLevel="0" collapsed="false">
      <c r="A39" s="8" t="s">
        <v>86</v>
      </c>
      <c r="B39" s="8" t="n">
        <f aca="false">COUNTIF(Terms!$J$2:$J$1017,"Beginner")</f>
        <v>230</v>
      </c>
      <c r="C39" s="9" t="n">
        <f aca="false">IF($B$4=0,0,B39/$B$4)</f>
        <v>0.226377952755906</v>
      </c>
      <c r="D39" s="10" t="s">
        <v>5899</v>
      </c>
    </row>
    <row r="40" customFormat="false" ht="15" hidden="false" customHeight="false" outlineLevel="0" collapsed="false">
      <c r="A40" s="8" t="s">
        <v>71</v>
      </c>
      <c r="B40" s="8" t="n">
        <f aca="false">COUNTIF(Terms!$J$2:$J$1017,"Intermediate")</f>
        <v>471</v>
      </c>
      <c r="C40" s="9" t="n">
        <f aca="false">IF($B$4=0,0,B40/$B$4)</f>
        <v>0.463582677165354</v>
      </c>
      <c r="D40" s="10" t="s">
        <v>5900</v>
      </c>
    </row>
    <row r="41" customFormat="false" ht="15" hidden="false" customHeight="false" outlineLevel="0" collapsed="false">
      <c r="A41" s="8" t="s">
        <v>21</v>
      </c>
      <c r="B41" s="8" t="n">
        <f aca="false">COUNTIF(Terms!$J$2:$J$1017,"Advanced")</f>
        <v>315</v>
      </c>
      <c r="C41" s="9" t="n">
        <f aca="false">IF($B$4=0,0,B41/$B$4)</f>
        <v>0.31003937007874</v>
      </c>
      <c r="D41" s="10" t="s">
        <v>5901</v>
      </c>
    </row>
    <row r="42" customFormat="false" ht="15" hidden="false" customHeight="false" outlineLevel="0" collapsed="false">
      <c r="A42" s="6" t="s">
        <v>5881</v>
      </c>
      <c r="B42" s="6" t="n">
        <f aca="false">SUM(B39:B41)</f>
        <v>1016</v>
      </c>
    </row>
    <row r="44" customFormat="false" ht="15" hidden="false" customHeight="false" outlineLevel="0" collapsed="false">
      <c r="A44" s="7" t="s">
        <v>10</v>
      </c>
      <c r="B44" s="7" t="s">
        <v>5866</v>
      </c>
      <c r="C44" s="7" t="s">
        <v>5867</v>
      </c>
      <c r="D44" s="7" t="s">
        <v>5868</v>
      </c>
    </row>
    <row r="45" customFormat="false" ht="23.85" hidden="false" customHeight="false" outlineLevel="0" collapsed="false">
      <c r="A45" s="8" t="s">
        <v>87</v>
      </c>
      <c r="B45" s="8" t="n">
        <f aca="false">COUNTIF(Terms!$K$2:$K$1017,"High")</f>
        <v>142</v>
      </c>
      <c r="C45" s="9" t="n">
        <f aca="false">IF($B$4=0,0,B45/$B$4)</f>
        <v>0.139763779527559</v>
      </c>
      <c r="D45" s="10" t="s">
        <v>5902</v>
      </c>
    </row>
    <row r="46" customFormat="false" ht="23.85" hidden="false" customHeight="false" outlineLevel="0" collapsed="false">
      <c r="A46" s="8" t="s">
        <v>72</v>
      </c>
      <c r="B46" s="8" t="n">
        <f aca="false">COUNTIF(Terms!$K$2:$K$1017,"Medium")</f>
        <v>420</v>
      </c>
      <c r="C46" s="9" t="n">
        <f aca="false">IF($B$4=0,0,B46/$B$4)</f>
        <v>0.413385826771654</v>
      </c>
      <c r="D46" s="10" t="s">
        <v>5903</v>
      </c>
    </row>
    <row r="47" customFormat="false" ht="15" hidden="false" customHeight="false" outlineLevel="0" collapsed="false">
      <c r="A47" s="8" t="s">
        <v>22</v>
      </c>
      <c r="B47" s="8" t="n">
        <f aca="false">COUNTIF(Terms!$K$2:$K$1017,"Low")</f>
        <v>454</v>
      </c>
      <c r="C47" s="9" t="n">
        <f aca="false">IF($B$4=0,0,B47/$B$4)</f>
        <v>0.446850393700787</v>
      </c>
      <c r="D47" s="10" t="s">
        <v>5904</v>
      </c>
    </row>
    <row r="48" customFormat="false" ht="15" hidden="false" customHeight="false" outlineLevel="0" collapsed="false">
      <c r="A48" s="6" t="s">
        <v>5881</v>
      </c>
      <c r="B48" s="6" t="n">
        <f aca="false">SUM(B45:B47)</f>
        <v>1016</v>
      </c>
    </row>
    <row r="50" customFormat="false" ht="15" hidden="false" customHeight="false" outlineLevel="0" collapsed="false">
      <c r="A50" s="7" t="s">
        <v>8</v>
      </c>
      <c r="B50" s="7" t="s">
        <v>5866</v>
      </c>
      <c r="C50" s="7" t="s">
        <v>5867</v>
      </c>
      <c r="D50" s="7" t="s">
        <v>5868</v>
      </c>
    </row>
    <row r="51" customFormat="false" ht="15" hidden="false" customHeight="false" outlineLevel="0" collapsed="false">
      <c r="A51" s="8" t="s">
        <v>799</v>
      </c>
      <c r="B51" s="8" t="n">
        <f aca="false">COUNTIF(Terms!$I$2:$I$1017,"*Individuals*")</f>
        <v>413</v>
      </c>
      <c r="C51" s="9" t="n">
        <f aca="false">IF($B$4=0,0,B51/$B$4)</f>
        <v>0.406496062992126</v>
      </c>
      <c r="D51" s="10" t="s">
        <v>5905</v>
      </c>
    </row>
    <row r="52" customFormat="false" ht="15" hidden="false" customHeight="false" outlineLevel="0" collapsed="false">
      <c r="A52" s="8" t="s">
        <v>151</v>
      </c>
      <c r="B52" s="8" t="n">
        <f aca="false">COUNTIF(Terms!$I$2:$I$1017,"*Developers*")</f>
        <v>516</v>
      </c>
      <c r="C52" s="9" t="n">
        <f aca="false">IF($B$4=0,0,B52/$B$4)</f>
        <v>0.507874015748032</v>
      </c>
      <c r="D52" s="10" t="s">
        <v>5906</v>
      </c>
    </row>
    <row r="53" customFormat="false" ht="15" hidden="false" customHeight="false" outlineLevel="0" collapsed="false">
      <c r="A53" s="8" t="s">
        <v>63</v>
      </c>
      <c r="B53" s="8" t="n">
        <f aca="false">COUNTIF(Terms!$I$2:$I$1017,"*Underwriters*")</f>
        <v>735</v>
      </c>
      <c r="C53" s="9" t="n">
        <f aca="false">IF($B$4=0,0,B53/$B$4)</f>
        <v>0.723425196850394</v>
      </c>
      <c r="D53" s="10" t="s">
        <v>5907</v>
      </c>
    </row>
    <row r="54" customFormat="false" ht="15" hidden="false" customHeight="false" outlineLevel="0" collapsed="false">
      <c r="A54" s="8" t="s">
        <v>256</v>
      </c>
      <c r="B54" s="8" t="n">
        <f aca="false">COUNTIF(Terms!$I$2:$I$1017,"*Product Owners*")</f>
        <v>596</v>
      </c>
      <c r="C54" s="9" t="n">
        <f aca="false">IF($B$4=0,0,B54/$B$4)</f>
        <v>0.586614173228346</v>
      </c>
      <c r="D54" s="10" t="s">
        <v>5908</v>
      </c>
    </row>
    <row r="55" customFormat="false" ht="15" hidden="false" customHeight="false" outlineLevel="0" collapsed="false">
      <c r="A55" s="5" t="s">
        <v>5909</v>
      </c>
    </row>
    <row r="57" customFormat="false" ht="15" hidden="false" customHeight="false" outlineLevel="0" collapsed="false">
      <c r="A57" s="7" t="s">
        <v>5910</v>
      </c>
      <c r="B57" s="7" t="s">
        <v>87</v>
      </c>
      <c r="C57" s="7" t="s">
        <v>72</v>
      </c>
      <c r="D57" s="7" t="s">
        <v>22</v>
      </c>
      <c r="E57" s="7" t="s">
        <v>5911</v>
      </c>
    </row>
    <row r="58" customFormat="false" ht="15" hidden="false" customHeight="false" outlineLevel="0" collapsed="false">
      <c r="A58" s="8" t="s">
        <v>179</v>
      </c>
      <c r="B58" s="8" t="n">
        <f aca="false">COUNTIFS(Terms!$D$2:$D$1017,$A58,Terms!$K$2:$K$1017,"High")</f>
        <v>22</v>
      </c>
      <c r="C58" s="8" t="n">
        <f aca="false">COUNTIFS(Terms!$D$2:$D$1017,$A58,Terms!$K$2:$K$1017,"Medium")</f>
        <v>15</v>
      </c>
      <c r="D58" s="8" t="n">
        <f aca="false">COUNTIFS(Terms!$D$2:$D$1017,$A58,Terms!$K$2:$K$1017,"Low")</f>
        <v>18</v>
      </c>
      <c r="E58" s="6" t="n">
        <f aca="false">SUM(B58:D58)</f>
        <v>55</v>
      </c>
    </row>
    <row r="59" customFormat="false" ht="15" hidden="false" customHeight="false" outlineLevel="0" collapsed="false">
      <c r="A59" s="8" t="s">
        <v>82</v>
      </c>
      <c r="B59" s="8" t="n">
        <f aca="false">COUNTIFS(Terms!$D$2:$D$1017,$A59,Terms!$K$2:$K$1017,"High")</f>
        <v>23</v>
      </c>
      <c r="C59" s="8" t="n">
        <f aca="false">COUNTIFS(Terms!$D$2:$D$1017,$A59,Terms!$K$2:$K$1017,"Medium")</f>
        <v>83</v>
      </c>
      <c r="D59" s="8" t="n">
        <f aca="false">COUNTIFS(Terms!$D$2:$D$1017,$A59,Terms!$K$2:$K$1017,"Low")</f>
        <v>52</v>
      </c>
      <c r="E59" s="6" t="n">
        <f aca="false">SUM(B59:D59)</f>
        <v>158</v>
      </c>
    </row>
    <row r="60" customFormat="false" ht="15" hidden="false" customHeight="false" outlineLevel="0" collapsed="false">
      <c r="A60" s="8" t="s">
        <v>223</v>
      </c>
      <c r="B60" s="8" t="n">
        <f aca="false">COUNTIFS(Terms!$D$2:$D$1017,$A60,Terms!$K$2:$K$1017,"High")</f>
        <v>20</v>
      </c>
      <c r="C60" s="8" t="n">
        <f aca="false">COUNTIFS(Terms!$D$2:$D$1017,$A60,Terms!$K$2:$K$1017,"Medium")</f>
        <v>15</v>
      </c>
      <c r="D60" s="8" t="n">
        <f aca="false">COUNTIFS(Terms!$D$2:$D$1017,$A60,Terms!$K$2:$K$1017,"Low")</f>
        <v>5</v>
      </c>
      <c r="E60" s="6" t="n">
        <f aca="false">SUM(B60:D60)</f>
        <v>40</v>
      </c>
    </row>
    <row r="61" customFormat="false" ht="15" hidden="false" customHeight="false" outlineLevel="0" collapsed="false">
      <c r="A61" s="8" t="s">
        <v>34</v>
      </c>
      <c r="B61" s="8" t="n">
        <f aca="false">COUNTIFS(Terms!$D$2:$D$1017,$A61,Terms!$K$2:$K$1017,"High")</f>
        <v>7</v>
      </c>
      <c r="C61" s="8" t="n">
        <f aca="false">COUNTIFS(Terms!$D$2:$D$1017,$A61,Terms!$K$2:$K$1017,"Medium")</f>
        <v>49</v>
      </c>
      <c r="D61" s="8" t="n">
        <f aca="false">COUNTIFS(Terms!$D$2:$D$1017,$A61,Terms!$K$2:$K$1017,"Low")</f>
        <v>22</v>
      </c>
      <c r="E61" s="6" t="n">
        <f aca="false">SUM(B61:D61)</f>
        <v>78</v>
      </c>
    </row>
    <row r="62" customFormat="false" ht="15" hidden="false" customHeight="false" outlineLevel="0" collapsed="false">
      <c r="A62" s="8" t="s">
        <v>59</v>
      </c>
      <c r="B62" s="8" t="n">
        <f aca="false">COUNTIFS(Terms!$D$2:$D$1017,$A62,Terms!$K$2:$K$1017,"High")</f>
        <v>12</v>
      </c>
      <c r="C62" s="8" t="n">
        <f aca="false">COUNTIFS(Terms!$D$2:$D$1017,$A62,Terms!$K$2:$K$1017,"Medium")</f>
        <v>24</v>
      </c>
      <c r="D62" s="8" t="n">
        <f aca="false">COUNTIFS(Terms!$D$2:$D$1017,$A62,Terms!$K$2:$K$1017,"Low")</f>
        <v>23</v>
      </c>
      <c r="E62" s="6" t="n">
        <f aca="false">SUM(B62:D62)</f>
        <v>59</v>
      </c>
    </row>
    <row r="63" customFormat="false" ht="15" hidden="false" customHeight="false" outlineLevel="0" collapsed="false">
      <c r="A63" s="8" t="s">
        <v>231</v>
      </c>
      <c r="B63" s="8" t="n">
        <f aca="false">COUNTIFS(Terms!$D$2:$D$1017,$A63,Terms!$K$2:$K$1017,"High")</f>
        <v>6</v>
      </c>
      <c r="C63" s="8" t="n">
        <f aca="false">COUNTIFS(Terms!$D$2:$D$1017,$A63,Terms!$K$2:$K$1017,"Medium")</f>
        <v>17</v>
      </c>
      <c r="D63" s="8" t="n">
        <f aca="false">COUNTIFS(Terms!$D$2:$D$1017,$A63,Terms!$K$2:$K$1017,"Low")</f>
        <v>17</v>
      </c>
      <c r="E63" s="6" t="n">
        <f aca="false">SUM(B63:D63)</f>
        <v>40</v>
      </c>
    </row>
    <row r="64" customFormat="false" ht="15" hidden="false" customHeight="false" outlineLevel="0" collapsed="false">
      <c r="A64" s="8" t="s">
        <v>106</v>
      </c>
      <c r="B64" s="8" t="n">
        <f aca="false">COUNTIFS(Terms!$D$2:$D$1017,$A64,Terms!$K$2:$K$1017,"High")</f>
        <v>4</v>
      </c>
      <c r="C64" s="8" t="n">
        <f aca="false">COUNTIFS(Terms!$D$2:$D$1017,$A64,Terms!$K$2:$K$1017,"Medium")</f>
        <v>34</v>
      </c>
      <c r="D64" s="8" t="n">
        <f aca="false">COUNTIFS(Terms!$D$2:$D$1017,$A64,Terms!$K$2:$K$1017,"Low")</f>
        <v>55</v>
      </c>
      <c r="E64" s="6" t="n">
        <f aca="false">SUM(B64:D64)</f>
        <v>93</v>
      </c>
    </row>
    <row r="65" customFormat="false" ht="15" hidden="false" customHeight="false" outlineLevel="0" collapsed="false">
      <c r="A65" s="8" t="s">
        <v>238</v>
      </c>
      <c r="B65" s="8" t="n">
        <f aca="false">COUNTIFS(Terms!$D$2:$D$1017,$A65,Terms!$K$2:$K$1017,"High")</f>
        <v>5</v>
      </c>
      <c r="C65" s="8" t="n">
        <f aca="false">COUNTIFS(Terms!$D$2:$D$1017,$A65,Terms!$K$2:$K$1017,"Medium")</f>
        <v>29</v>
      </c>
      <c r="D65" s="8" t="n">
        <f aca="false">COUNTIFS(Terms!$D$2:$D$1017,$A65,Terms!$K$2:$K$1017,"Low")</f>
        <v>57</v>
      </c>
      <c r="E65" s="6" t="n">
        <f aca="false">SUM(B65:D65)</f>
        <v>91</v>
      </c>
    </row>
    <row r="66" customFormat="false" ht="15" hidden="false" customHeight="false" outlineLevel="0" collapsed="false">
      <c r="A66" s="8" t="s">
        <v>251</v>
      </c>
      <c r="B66" s="8" t="n">
        <f aca="false">COUNTIFS(Terms!$D$2:$D$1017,$A66,Terms!$K$2:$K$1017,"High")</f>
        <v>1</v>
      </c>
      <c r="C66" s="8" t="n">
        <f aca="false">COUNTIFS(Terms!$D$2:$D$1017,$A66,Terms!$K$2:$K$1017,"Medium")</f>
        <v>13</v>
      </c>
      <c r="D66" s="8" t="n">
        <f aca="false">COUNTIFS(Terms!$D$2:$D$1017,$A66,Terms!$K$2:$K$1017,"Low")</f>
        <v>27</v>
      </c>
      <c r="E66" s="6" t="n">
        <f aca="false">SUM(B66:D66)</f>
        <v>41</v>
      </c>
    </row>
    <row r="67" customFormat="false" ht="15" hidden="false" customHeight="false" outlineLevel="0" collapsed="false">
      <c r="A67" s="8" t="s">
        <v>52</v>
      </c>
      <c r="B67" s="8" t="n">
        <f aca="false">COUNTIFS(Terms!$D$2:$D$1017,$A67,Terms!$K$2:$K$1017,"High")</f>
        <v>2</v>
      </c>
      <c r="C67" s="8" t="n">
        <f aca="false">COUNTIFS(Terms!$D$2:$D$1017,$A67,Terms!$K$2:$K$1017,"Medium")</f>
        <v>7</v>
      </c>
      <c r="D67" s="8" t="n">
        <f aca="false">COUNTIFS(Terms!$D$2:$D$1017,$A67,Terms!$K$2:$K$1017,"Low")</f>
        <v>40</v>
      </c>
      <c r="E67" s="6" t="n">
        <f aca="false">SUM(B67:D67)</f>
        <v>49</v>
      </c>
    </row>
    <row r="68" customFormat="false" ht="15" hidden="false" customHeight="false" outlineLevel="0" collapsed="false">
      <c r="A68" s="8" t="s">
        <v>43</v>
      </c>
      <c r="B68" s="8" t="n">
        <f aca="false">COUNTIFS(Terms!$D$2:$D$1017,$A68,Terms!$K$2:$K$1017,"High")</f>
        <v>6</v>
      </c>
      <c r="C68" s="8" t="n">
        <f aca="false">COUNTIFS(Terms!$D$2:$D$1017,$A68,Terms!$K$2:$K$1017,"Medium")</f>
        <v>23</v>
      </c>
      <c r="D68" s="8" t="n">
        <f aca="false">COUNTIFS(Terms!$D$2:$D$1017,$A68,Terms!$K$2:$K$1017,"Low")</f>
        <v>33</v>
      </c>
      <c r="E68" s="6" t="n">
        <f aca="false">SUM(B68:D68)</f>
        <v>62</v>
      </c>
    </row>
    <row r="69" customFormat="false" ht="15" hidden="false" customHeight="false" outlineLevel="0" collapsed="false">
      <c r="A69" s="8" t="s">
        <v>15</v>
      </c>
      <c r="B69" s="8" t="n">
        <f aca="false">COUNTIFS(Terms!$D$2:$D$1017,$A69,Terms!$K$2:$K$1017,"High")</f>
        <v>34</v>
      </c>
      <c r="C69" s="8" t="n">
        <f aca="false">COUNTIFS(Terms!$D$2:$D$1017,$A69,Terms!$K$2:$K$1017,"Medium")</f>
        <v>111</v>
      </c>
      <c r="D69" s="8" t="n">
        <f aca="false">COUNTIFS(Terms!$D$2:$D$1017,$A69,Terms!$K$2:$K$1017,"Low")</f>
        <v>105</v>
      </c>
      <c r="E69" s="6" t="n">
        <f aca="false">SUM(B69:D69)</f>
        <v>250</v>
      </c>
    </row>
    <row r="70" customFormat="false" ht="15" hidden="false" customHeight="false" outlineLevel="0" collapsed="false">
      <c r="A70" s="6" t="s">
        <v>5911</v>
      </c>
      <c r="B70" s="6" t="n">
        <f aca="false">SUM(B58:B69)</f>
        <v>142</v>
      </c>
      <c r="C70" s="6" t="n">
        <f aca="false">SUM(C58:C69)</f>
        <v>420</v>
      </c>
      <c r="D70" s="6" t="n">
        <f aca="false">SUM(D58:D69)</f>
        <v>454</v>
      </c>
      <c r="E70" s="6" t="n">
        <f aca="false">SUM(E58:E69)</f>
        <v>1016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4" t="s">
        <v>5912</v>
      </c>
    </row>
    <row r="2" customFormat="false" ht="35.05" hidden="false" customHeight="false" outlineLevel="0" collapsed="false">
      <c r="A2" s="11" t="s">
        <v>5913</v>
      </c>
      <c r="B2" s="10" t="s">
        <v>5914</v>
      </c>
    </row>
    <row r="3" customFormat="false" ht="23.85" hidden="false" customHeight="false" outlineLevel="0" collapsed="false">
      <c r="A3" s="11" t="s">
        <v>5915</v>
      </c>
      <c r="B3" s="10" t="s">
        <v>5916</v>
      </c>
    </row>
    <row r="4" customFormat="false" ht="23.85" hidden="false" customHeight="false" outlineLevel="0" collapsed="false">
      <c r="A4" s="11" t="s">
        <v>5917</v>
      </c>
      <c r="B4" s="10" t="s">
        <v>5918</v>
      </c>
    </row>
    <row r="5" customFormat="false" ht="15" hidden="false" customHeight="false" outlineLevel="0" collapsed="false">
      <c r="A5" s="11" t="s">
        <v>5919</v>
      </c>
      <c r="B5" s="10" t="s">
        <v>5920</v>
      </c>
    </row>
    <row r="6" customFormat="false" ht="15" hidden="false" customHeight="false" outlineLevel="0" collapsed="false">
      <c r="A6" s="12"/>
    </row>
    <row r="7" customFormat="false" ht="15" hidden="false" customHeight="false" outlineLevel="0" collapsed="false">
      <c r="A7" s="12" t="s">
        <v>5921</v>
      </c>
    </row>
    <row r="8" customFormat="false" ht="15" hidden="false" customHeight="false" outlineLevel="0" collapsed="false">
      <c r="A8" s="11" t="s">
        <v>0</v>
      </c>
      <c r="B8" s="10" t="s">
        <v>5922</v>
      </c>
    </row>
    <row r="9" customFormat="false" ht="15" hidden="false" customHeight="false" outlineLevel="0" collapsed="false">
      <c r="A9" s="11" t="s">
        <v>1</v>
      </c>
      <c r="B9" s="10" t="s">
        <v>5923</v>
      </c>
    </row>
    <row r="10" customFormat="false" ht="15" hidden="false" customHeight="false" outlineLevel="0" collapsed="false">
      <c r="A10" s="11" t="s">
        <v>2</v>
      </c>
      <c r="B10" s="10" t="s">
        <v>5924</v>
      </c>
    </row>
    <row r="11" customFormat="false" ht="15" hidden="false" customHeight="false" outlineLevel="0" collapsed="false">
      <c r="A11" s="11" t="s">
        <v>3</v>
      </c>
      <c r="B11" s="10" t="s">
        <v>5925</v>
      </c>
    </row>
    <row r="12" customFormat="false" ht="15" hidden="false" customHeight="false" outlineLevel="0" collapsed="false">
      <c r="A12" s="11" t="s">
        <v>4</v>
      </c>
      <c r="B12" s="10" t="s">
        <v>5926</v>
      </c>
    </row>
    <row r="13" customFormat="false" ht="15" hidden="false" customHeight="false" outlineLevel="0" collapsed="false">
      <c r="A13" s="11" t="s">
        <v>5</v>
      </c>
      <c r="B13" s="10" t="s">
        <v>5927</v>
      </c>
    </row>
    <row r="14" customFormat="false" ht="15" hidden="false" customHeight="false" outlineLevel="0" collapsed="false">
      <c r="A14" s="11" t="s">
        <v>6</v>
      </c>
      <c r="B14" s="10" t="s">
        <v>5928</v>
      </c>
    </row>
    <row r="15" customFormat="false" ht="15" hidden="false" customHeight="false" outlineLevel="0" collapsed="false">
      <c r="A15" s="11" t="s">
        <v>7</v>
      </c>
      <c r="B15" s="10" t="s">
        <v>5929</v>
      </c>
    </row>
    <row r="16" customFormat="false" ht="15" hidden="false" customHeight="false" outlineLevel="0" collapsed="false">
      <c r="A16" s="11" t="s">
        <v>8</v>
      </c>
      <c r="B16" s="10" t="s">
        <v>5930</v>
      </c>
    </row>
    <row r="17" customFormat="false" ht="15" hidden="false" customHeight="false" outlineLevel="0" collapsed="false">
      <c r="A17" s="11" t="s">
        <v>9</v>
      </c>
      <c r="B17" s="10" t="s">
        <v>5931</v>
      </c>
    </row>
    <row r="18" customFormat="false" ht="23.85" hidden="false" customHeight="false" outlineLevel="0" collapsed="false">
      <c r="A18" s="11" t="s">
        <v>10</v>
      </c>
      <c r="B18" s="10" t="s">
        <v>5932</v>
      </c>
    </row>
    <row r="19" customFormat="false" ht="15" hidden="false" customHeight="false" outlineLevel="0" collapsed="false">
      <c r="A19" s="11" t="s">
        <v>11</v>
      </c>
      <c r="B19" s="10" t="s">
        <v>5933</v>
      </c>
    </row>
    <row r="20" customFormat="false" ht="15" hidden="false" customHeight="false" outlineLevel="0" collapsed="false">
      <c r="A20" s="11" t="s">
        <v>12</v>
      </c>
      <c r="B20" s="10" t="s">
        <v>5934</v>
      </c>
    </row>
    <row r="21" customFormat="false" ht="15" hidden="false" customHeight="false" outlineLevel="0" collapsed="false">
      <c r="A21" s="12"/>
    </row>
    <row r="22" customFormat="false" ht="15" hidden="false" customHeight="false" outlineLevel="0" collapsed="false">
      <c r="A22" s="12" t="s">
        <v>5935</v>
      </c>
    </row>
    <row r="23" customFormat="false" ht="15" hidden="false" customHeight="false" outlineLevel="0" collapsed="false">
      <c r="A23" s="11" t="s">
        <v>179</v>
      </c>
      <c r="B23" s="10" t="s">
        <v>5869</v>
      </c>
    </row>
    <row r="24" customFormat="false" ht="15" hidden="false" customHeight="false" outlineLevel="0" collapsed="false">
      <c r="A24" s="11" t="s">
        <v>82</v>
      </c>
      <c r="B24" s="10" t="s">
        <v>5870</v>
      </c>
    </row>
    <row r="25" customFormat="false" ht="15" hidden="false" customHeight="false" outlineLevel="0" collapsed="false">
      <c r="A25" s="11" t="s">
        <v>223</v>
      </c>
      <c r="B25" s="10" t="s">
        <v>5871</v>
      </c>
    </row>
    <row r="26" customFormat="false" ht="15" hidden="false" customHeight="false" outlineLevel="0" collapsed="false">
      <c r="A26" s="11" t="s">
        <v>34</v>
      </c>
      <c r="B26" s="10" t="s">
        <v>5872</v>
      </c>
    </row>
    <row r="27" customFormat="false" ht="15" hidden="false" customHeight="false" outlineLevel="0" collapsed="false">
      <c r="A27" s="11" t="s">
        <v>59</v>
      </c>
      <c r="B27" s="10" t="s">
        <v>5873</v>
      </c>
    </row>
    <row r="28" customFormat="false" ht="15" hidden="false" customHeight="false" outlineLevel="0" collapsed="false">
      <c r="A28" s="11" t="s">
        <v>231</v>
      </c>
      <c r="B28" s="10" t="s">
        <v>5874</v>
      </c>
    </row>
    <row r="29" customFormat="false" ht="15" hidden="false" customHeight="false" outlineLevel="0" collapsed="false">
      <c r="A29" s="11" t="s">
        <v>106</v>
      </c>
      <c r="B29" s="10" t="s">
        <v>5875</v>
      </c>
    </row>
    <row r="30" customFormat="false" ht="15" hidden="false" customHeight="false" outlineLevel="0" collapsed="false">
      <c r="A30" s="11" t="s">
        <v>238</v>
      </c>
      <c r="B30" s="10" t="s">
        <v>5876</v>
      </c>
    </row>
    <row r="31" customFormat="false" ht="15" hidden="false" customHeight="false" outlineLevel="0" collapsed="false">
      <c r="A31" s="11" t="s">
        <v>251</v>
      </c>
      <c r="B31" s="10" t="s">
        <v>5877</v>
      </c>
    </row>
    <row r="32" customFormat="false" ht="15" hidden="false" customHeight="false" outlineLevel="0" collapsed="false">
      <c r="A32" s="11" t="s">
        <v>52</v>
      </c>
      <c r="B32" s="10" t="s">
        <v>5878</v>
      </c>
    </row>
    <row r="33" customFormat="false" ht="15" hidden="false" customHeight="false" outlineLevel="0" collapsed="false">
      <c r="A33" s="11" t="s">
        <v>43</v>
      </c>
      <c r="B33" s="10" t="s">
        <v>5879</v>
      </c>
    </row>
    <row r="34" customFormat="false" ht="15" hidden="false" customHeight="false" outlineLevel="0" collapsed="false">
      <c r="A34" s="11" t="s">
        <v>15</v>
      </c>
      <c r="B34" s="10" t="s">
        <v>5880</v>
      </c>
    </row>
    <row r="35" customFormat="false" ht="15" hidden="false" customHeight="false" outlineLevel="0" collapsed="false">
      <c r="A35" s="12"/>
    </row>
    <row r="36" customFormat="false" ht="15" hidden="false" customHeight="false" outlineLevel="0" collapsed="false">
      <c r="A36" s="12" t="s">
        <v>5936</v>
      </c>
    </row>
    <row r="37" customFormat="false" ht="15" hidden="false" customHeight="false" outlineLevel="0" collapsed="false">
      <c r="A37" s="11" t="s">
        <v>53</v>
      </c>
      <c r="B37" s="10" t="s">
        <v>5883</v>
      </c>
    </row>
    <row r="38" customFormat="false" ht="15" hidden="false" customHeight="false" outlineLevel="0" collapsed="false">
      <c r="A38" s="11" t="s">
        <v>16</v>
      </c>
      <c r="B38" s="10" t="s">
        <v>5884</v>
      </c>
    </row>
    <row r="39" customFormat="false" ht="15" hidden="false" customHeight="false" outlineLevel="0" collapsed="false">
      <c r="A39" s="11" t="s">
        <v>99</v>
      </c>
      <c r="B39" s="10" t="s">
        <v>5885</v>
      </c>
    </row>
    <row r="40" customFormat="false" ht="15" hidden="false" customHeight="false" outlineLevel="0" collapsed="false">
      <c r="A40" s="11" t="s">
        <v>216</v>
      </c>
      <c r="B40" s="10" t="s">
        <v>5886</v>
      </c>
    </row>
    <row r="41" customFormat="false" ht="15" hidden="false" customHeight="false" outlineLevel="0" collapsed="false">
      <c r="A41" s="11" t="s">
        <v>487</v>
      </c>
      <c r="B41" s="10" t="s">
        <v>5887</v>
      </c>
    </row>
    <row r="42" customFormat="false" ht="15" hidden="false" customHeight="false" outlineLevel="0" collapsed="false">
      <c r="A42" s="11" t="s">
        <v>91</v>
      </c>
      <c r="B42" s="10" t="s">
        <v>5888</v>
      </c>
    </row>
    <row r="43" customFormat="false" ht="15" hidden="false" customHeight="false" outlineLevel="0" collapsed="false">
      <c r="A43" s="11" t="s">
        <v>5889</v>
      </c>
      <c r="B43" s="10" t="s">
        <v>5890</v>
      </c>
    </row>
    <row r="44" customFormat="false" ht="15" hidden="false" customHeight="false" outlineLevel="0" collapsed="false">
      <c r="A44" s="11" t="s">
        <v>60</v>
      </c>
      <c r="B44" s="10" t="s">
        <v>5891</v>
      </c>
    </row>
    <row r="45" customFormat="false" ht="15" hidden="false" customHeight="false" outlineLevel="0" collapsed="false">
      <c r="A45" s="11" t="s">
        <v>796</v>
      </c>
      <c r="B45" s="10" t="s">
        <v>5892</v>
      </c>
    </row>
    <row r="46" customFormat="false" ht="15" hidden="false" customHeight="false" outlineLevel="0" collapsed="false">
      <c r="A46" s="11" t="s">
        <v>312</v>
      </c>
      <c r="B46" s="10" t="s">
        <v>5893</v>
      </c>
    </row>
    <row r="47" customFormat="false" ht="15" hidden="false" customHeight="false" outlineLevel="0" collapsed="false">
      <c r="A47" s="11" t="s">
        <v>188</v>
      </c>
      <c r="B47" s="10" t="s">
        <v>5894</v>
      </c>
    </row>
    <row r="48" customFormat="false" ht="15" hidden="false" customHeight="false" outlineLevel="0" collapsed="false">
      <c r="A48" s="11" t="s">
        <v>5069</v>
      </c>
      <c r="B48" s="10" t="s">
        <v>5895</v>
      </c>
    </row>
    <row r="49" customFormat="false" ht="15" hidden="false" customHeight="false" outlineLevel="0" collapsed="false">
      <c r="A49" s="11" t="s">
        <v>251</v>
      </c>
      <c r="B49" s="10" t="s">
        <v>5896</v>
      </c>
    </row>
    <row r="50" customFormat="false" ht="15" hidden="false" customHeight="false" outlineLevel="0" collapsed="false">
      <c r="A50" s="11" t="s">
        <v>375</v>
      </c>
      <c r="B50" s="10" t="s">
        <v>5897</v>
      </c>
    </row>
    <row r="51" customFormat="false" ht="15" hidden="false" customHeight="false" outlineLevel="0" collapsed="false">
      <c r="A51" s="12"/>
    </row>
    <row r="52" customFormat="false" ht="15" hidden="false" customHeight="false" outlineLevel="0" collapsed="false">
      <c r="A52" s="12" t="s">
        <v>5937</v>
      </c>
    </row>
    <row r="53" customFormat="false" ht="15" hidden="false" customHeight="false" outlineLevel="0" collapsed="false">
      <c r="A53" s="11" t="s">
        <v>799</v>
      </c>
      <c r="B53" s="10" t="s">
        <v>5905</v>
      </c>
    </row>
    <row r="54" customFormat="false" ht="15" hidden="false" customHeight="false" outlineLevel="0" collapsed="false">
      <c r="A54" s="11" t="s">
        <v>151</v>
      </c>
      <c r="B54" s="10" t="s">
        <v>5906</v>
      </c>
    </row>
    <row r="55" customFormat="false" ht="15" hidden="false" customHeight="false" outlineLevel="0" collapsed="false">
      <c r="A55" s="11" t="s">
        <v>63</v>
      </c>
      <c r="B55" s="10" t="s">
        <v>5907</v>
      </c>
    </row>
    <row r="56" customFormat="false" ht="15" hidden="false" customHeight="false" outlineLevel="0" collapsed="false">
      <c r="A56" s="11" t="s">
        <v>256</v>
      </c>
      <c r="B56" s="10" t="s">
        <v>5908</v>
      </c>
    </row>
    <row r="57" customFormat="false" ht="15" hidden="false" customHeight="false" outlineLevel="0" collapsed="false">
      <c r="A57" s="12"/>
    </row>
    <row r="58" customFormat="false" ht="15" hidden="false" customHeight="false" outlineLevel="0" collapsed="false">
      <c r="A58" s="12" t="s">
        <v>5938</v>
      </c>
    </row>
    <row r="59" customFormat="false" ht="15" hidden="false" customHeight="false" outlineLevel="0" collapsed="false">
      <c r="A59" s="11" t="s">
        <v>86</v>
      </c>
      <c r="B59" s="10" t="s">
        <v>5899</v>
      </c>
    </row>
    <row r="60" customFormat="false" ht="15" hidden="false" customHeight="false" outlineLevel="0" collapsed="false">
      <c r="A60" s="11" t="s">
        <v>71</v>
      </c>
      <c r="B60" s="10" t="s">
        <v>5900</v>
      </c>
    </row>
    <row r="61" customFormat="false" ht="15" hidden="false" customHeight="false" outlineLevel="0" collapsed="false">
      <c r="A61" s="11" t="s">
        <v>21</v>
      </c>
      <c r="B61" s="10" t="s">
        <v>5901</v>
      </c>
    </row>
    <row r="62" customFormat="false" ht="15" hidden="false" customHeight="false" outlineLevel="0" collapsed="false">
      <c r="A62" s="12"/>
    </row>
    <row r="63" customFormat="false" ht="15" hidden="false" customHeight="false" outlineLevel="0" collapsed="false">
      <c r="A63" s="12" t="s">
        <v>5939</v>
      </c>
    </row>
    <row r="64" customFormat="false" ht="15" hidden="false" customHeight="false" outlineLevel="0" collapsed="false">
      <c r="A64" s="11" t="s">
        <v>87</v>
      </c>
      <c r="B64" s="10" t="s">
        <v>5902</v>
      </c>
    </row>
    <row r="65" customFormat="false" ht="15" hidden="false" customHeight="false" outlineLevel="0" collapsed="false">
      <c r="A65" s="11" t="s">
        <v>72</v>
      </c>
      <c r="B65" s="10" t="s">
        <v>5903</v>
      </c>
    </row>
    <row r="66" customFormat="false" ht="15" hidden="false" customHeight="false" outlineLevel="0" collapsed="false">
      <c r="A66" s="11" t="s">
        <v>22</v>
      </c>
      <c r="B66" s="10" t="s">
        <v>5904</v>
      </c>
    </row>
    <row r="67" customFormat="false" ht="15" hidden="false" customHeight="false" outlineLevel="0" collapsed="false">
      <c r="A67" s="12"/>
    </row>
    <row r="68" customFormat="false" ht="15" hidden="false" customHeight="false" outlineLevel="0" collapsed="false">
      <c r="A68" s="12" t="s">
        <v>5940</v>
      </c>
    </row>
    <row r="69" customFormat="false" ht="15" hidden="false" customHeight="false" outlineLevel="0" collapsed="false">
      <c r="A69" s="11" t="s">
        <v>47</v>
      </c>
      <c r="B69" s="10"/>
    </row>
    <row r="70" customFormat="false" ht="15" hidden="false" customHeight="false" outlineLevel="0" collapsed="false">
      <c r="A70" s="11" t="s">
        <v>675</v>
      </c>
      <c r="B70" s="10"/>
    </row>
    <row r="71" customFormat="false" ht="15" hidden="false" customHeight="false" outlineLevel="0" collapsed="false">
      <c r="A71" s="11" t="s">
        <v>19</v>
      </c>
      <c r="B71" s="10"/>
    </row>
    <row r="72" customFormat="false" ht="15" hidden="false" customHeight="false" outlineLevel="0" collapsed="false">
      <c r="A72" s="11" t="s">
        <v>1218</v>
      </c>
      <c r="B72" s="10"/>
    </row>
    <row r="73" customFormat="false" ht="15" hidden="false" customHeight="false" outlineLevel="0" collapsed="false">
      <c r="A73" s="11" t="s">
        <v>452</v>
      </c>
      <c r="B73" s="10"/>
    </row>
    <row r="74" customFormat="false" ht="15" hidden="false" customHeight="false" outlineLevel="0" collapsed="false">
      <c r="A74" s="11" t="s">
        <v>543</v>
      </c>
      <c r="B74" s="10"/>
    </row>
    <row r="75" customFormat="false" ht="15" hidden="false" customHeight="false" outlineLevel="0" collapsed="false">
      <c r="A75" s="11" t="s">
        <v>38</v>
      </c>
      <c r="B75" s="10"/>
    </row>
    <row r="76" customFormat="false" ht="15" hidden="false" customHeight="false" outlineLevel="0" collapsed="false">
      <c r="A76" s="11" t="s">
        <v>28</v>
      </c>
      <c r="B76" s="10"/>
    </row>
    <row r="77" customFormat="false" ht="15" hidden="false" customHeight="false" outlineLevel="0" collapsed="false">
      <c r="A77" s="11" t="s">
        <v>110</v>
      </c>
      <c r="B77" s="10"/>
    </row>
    <row r="78" customFormat="false" ht="15" hidden="false" customHeight="false" outlineLevel="0" collapsed="false">
      <c r="A78" s="11" t="s">
        <v>241</v>
      </c>
      <c r="B78" s="10"/>
    </row>
    <row r="79" customFormat="false" ht="15" hidden="false" customHeight="false" outlineLevel="0" collapsed="false">
      <c r="A79" s="11" t="s">
        <v>255</v>
      </c>
      <c r="B79" s="10"/>
    </row>
    <row r="80" customFormat="false" ht="15" hidden="false" customHeight="false" outlineLevel="0" collapsed="false">
      <c r="A80" s="11" t="s">
        <v>306</v>
      </c>
      <c r="B80" s="10"/>
    </row>
    <row r="81" customFormat="false" ht="15" hidden="false" customHeight="false" outlineLevel="0" collapsed="false">
      <c r="A81" s="11" t="s">
        <v>226</v>
      </c>
      <c r="B81" s="10"/>
    </row>
    <row r="82" customFormat="false" ht="15" hidden="false" customHeight="false" outlineLevel="0" collapsed="false">
      <c r="A82" s="11" t="s">
        <v>1268</v>
      </c>
      <c r="B82" s="10"/>
    </row>
    <row r="83" customFormat="false" ht="15" hidden="false" customHeight="false" outlineLevel="0" collapsed="false">
      <c r="A83" s="11" t="s">
        <v>2932</v>
      </c>
      <c r="B83" s="10"/>
    </row>
    <row r="84" customFormat="false" ht="15" hidden="false" customHeight="false" outlineLevel="0" collapsed="false">
      <c r="A84" s="11" t="s">
        <v>372</v>
      </c>
      <c r="B84" s="10"/>
    </row>
    <row r="85" customFormat="false" ht="15" hidden="false" customHeight="false" outlineLevel="0" collapsed="false">
      <c r="A85" s="11" t="s">
        <v>197</v>
      </c>
      <c r="B85" s="10"/>
    </row>
    <row r="86" customFormat="false" ht="15" hidden="false" customHeight="false" outlineLevel="0" collapsed="false">
      <c r="A86" s="11" t="s">
        <v>288</v>
      </c>
      <c r="B86" s="10"/>
    </row>
    <row r="87" customFormat="false" ht="15" hidden="false" customHeight="false" outlineLevel="0" collapsed="false">
      <c r="A87" s="11" t="s">
        <v>145</v>
      </c>
      <c r="B87" s="10"/>
    </row>
    <row r="88" customFormat="false" ht="15" hidden="false" customHeight="false" outlineLevel="0" collapsed="false">
      <c r="A88" s="12"/>
    </row>
    <row r="89" customFormat="false" ht="35.05" hidden="false" customHeight="false" outlineLevel="0" collapsed="false">
      <c r="A89" s="11" t="s">
        <v>5941</v>
      </c>
      <c r="B89" s="10" t="s">
        <v>5942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2026-09-30T17:05:20Z</dcterms:created>
  <dc:creator>openpyxl</dc:creator>
  <dc:description/>
  <dc:language>en-US</dc:language>
  <cp:lastModifiedBy/>
  <dcterms:modified xsi:type="dcterms:W3CDTF">2026-09-30T17:05:20Z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